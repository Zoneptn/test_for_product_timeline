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8BC17AEF-AB38-5B43-90D2-AB8C941A219C}" xr6:coauthVersionLast="47" xr6:coauthVersionMax="47" xr10:uidLastSave="{00000000-0000-0000-0000-000000000000}"/>
  <bookViews>
    <workbookView xWindow="51540" yWindow="860" windowWidth="23440" windowHeight="19500" firstSheet="2" activeTab="5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3" l="1"/>
  <c r="L3" i="13"/>
  <c r="L2" i="13"/>
  <c r="L4" i="12"/>
  <c r="L3" i="12"/>
  <c r="L2" i="12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2" i="16"/>
  <c r="L5" i="14"/>
  <c r="L2" i="14"/>
  <c r="L3" i="14"/>
  <c r="L4" i="14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<sst xmlns="http://schemas.openxmlformats.org/spreadsheetml/2006/main" count="1863" uniqueCount="855">
  <si>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</si>
  <si>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</si>
  <si>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</si>
  <si>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</si>
  <si>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</si>
  <si>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</si>
  <si>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</si>
  <si>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</si>
  <si>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</si>
  <si>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</si>
  <si>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</si>
  <si>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</si>
  <si>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</si>
  <si>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</si>
  <si>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</si>
  <si>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</si>
  <si>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</si>
  <si>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</si>
  <si>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</si>
  <si>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</si>
  <si>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</si>
  <si>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</si>
  <si>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</si>
  <si>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</si>
  <si>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</si>
  <si>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</si>
  <si>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</si>
  <si>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</si>
  <si>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</si>
  <si>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</si>
  <si>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</si>
  <si>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</si>
  <si>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</si>
  <si>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</si>
  <si>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</si>
  <si>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</si>
  <si>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</si>
  <si>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</si>
  <si>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</si>
  <si>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</si>
  <si>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</si>
  <si>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</si>
  <si>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</si>
  <si>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</si>
  <si>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</si>
  <si>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</si>
  <si>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</si>
  <si>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</si>
  <si>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</si>
  <si>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</si>
  <si>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</si>
  <si>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</si>
  <si>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</si>
  <si>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</si>
  <si>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</si>
  <si>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</si>
  <si>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</si>
  <si>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</si>
  <si>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</si>
  <si>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</si>
  <si>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</si>
  <si>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</si>
  <si>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</si>
  <si>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</si>
  <si>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</si>
  <si>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</si>
  <si>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</si>
  <si>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</si>
  <si>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</si>
  <si>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</si>
  <si>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</si>
  <si>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</si>
  <si>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</si>
  <si>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</si>
  <si>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</si>
  <si>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</si>
  <si>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</si>
  <si>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</si>
  <si>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</si>
  <si>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</si>
  <si>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</si>
  <si>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</si>
  <si>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</si>
  <si>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</si>
  <si>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</si>
  <si>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</si>
  <si>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</si>
  <si>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</si>
  <si>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</si>
  <si>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</si>
  <si>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</si>
  <si>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</si>
  <si>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</si>
  <si>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</si>
  <si>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</si>
  <si>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</si>
  <si>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</si>
  <si>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</si>
  <si>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</si>
  <si>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</si>
  <si>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</si>
  <si>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</si>
  <si>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</si>
  <si>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</si>
  <si>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</si>
  <si>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</si>
  <si>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</si>
  <si>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</si>
  <si>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</si>
  <si>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</si>
  <si>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</si>
  <si>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</si>
  <si>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</si>
  <si>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</si>
  <si>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</si>
  <si>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</si>
  <si>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</si>
  <si>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</si>
  <si>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</si>
  <si>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</si>
  <si>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</si>
  <si>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</si>
  <si>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</si>
  <si>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</si>
  <si>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</si>
  <si>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</si>
  <si>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</si>
  <si>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</si>
  <si>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</si>
  <si>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</si>
  <si>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</si>
  <si>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</si>
  <si>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</si>
  <si>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</si>
  <si>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</si>
  <si>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</si>
  <si>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</si>
  <si>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</si>
  <si>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</si>
  <si>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</si>
  <si>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</si>
  <si>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</si>
  <si>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</si>
  <si>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</si>
  <si>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</si>
  <si>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</si>
  <si>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</si>
  <si>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</si>
  <si>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</si>
  <si>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</si>
  <si>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</si>
  <si>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</si>
  <si>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</si>
  <si>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</si>
  <si>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</si>
  <si>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</si>
  <si>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</si>
  <si>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</si>
  <si>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</si>
  <si>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</si>
  <si>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</si>
  <si>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</si>
  <si>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</si>
  <si>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</si>
  <si>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</si>
  <si>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</si>
  <si>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</si>
  <si>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</si>
  <si>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</si>
  <si>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</si>
  <si>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</si>
  <si>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</si>
  <si>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</si>
  <si>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</si>
  <si>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</si>
  <si>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</si>
  <si>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</si>
  <si>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</si>
  <si>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</si>
  <si>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</si>
  <si>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</si>
  <si>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</si>
  <si>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</si>
  <si>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</si>
  <si>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</si>
  <si>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</si>
  <si>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</si>
  <si>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</si>
  <si>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</si>
  <si>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</si>
  <si>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</si>
  <si>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</si>
  <si>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</si>
  <si>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</si>
  <si>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</si>
  <si>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</si>
  <si>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</si>
  <si>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</si>
  <si>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</si>
  <si>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</si>
  <si>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</si>
  <si>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</si>
  <si>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</si>
  <si>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</si>
  <si>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</si>
  <si>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</si>
  <si>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</si>
  <si>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</si>
  <si>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</si>
  <si>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</si>
  <si>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</si>
  <si>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</si>
  <si>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</si>
  <si>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</si>
  <si>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</si>
  <si>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</si>
  <si>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</si>
  <si>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</si>
  <si>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</si>
  <si>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</si>
  <si>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</si>
  <si>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</si>
  <si>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</si>
  <si>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</si>
  <si>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</si>
  <si>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</si>
  <si>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</si>
  <si>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</si>
  <si>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</si>
  <si>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</si>
  <si>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</si>
  <si>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</si>
  <si>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</si>
  <si>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</si>
  <si>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</si>
  <si>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</si>
  <si>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</si>
  <si>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</si>
  <si>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</si>
  <si>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</si>
  <si>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</si>
  <si>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</si>
  <si>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</si>
  <si>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</si>
  <si>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</si>
  <si>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</si>
  <si>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</si>
  <si>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</si>
  <si>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</si>
  <si>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</si>
  <si>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</si>
  <si>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</si>
  <si>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</si>
  <si>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</si>
  <si>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</si>
  <si>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</si>
  <si>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</si>
  <si>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</si>
  <si>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</si>
  <si>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</si>
  <si>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</si>
  <si>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</si>
  <si>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</si>
  <si>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</si>
  <si>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</si>
  <si>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</si>
  <si>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</si>
  <si>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</si>
  <si>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</si>
  <si>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</si>
  <si>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</si>
  <si>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</si>
  <si>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</si>
  <si>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</si>
  <si>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</si>
  <si>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</si>
  <si>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</si>
  <si>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</si>
  <si>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</si>
  <si>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</si>
  <si>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</si>
  <si>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</si>
  <si>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</si>
  <si>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</si>
  <si>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</si>
  <si>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</si>
  <si>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</si>
  <si>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</si>
  <si>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</si>
  <si>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</si>
  <si>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</si>
  <si>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</si>
  <si>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</si>
  <si>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</si>
  <si>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</si>
  <si>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</si>
  <si>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</si>
  <si>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</si>
  <si>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</si>
  <si>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</si>
  <si>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</si>
  <si>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</si>
  <si>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</si>
  <si>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</si>
  <si>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</si>
  <si>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</si>
  <si>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</si>
  <si>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</si>
  <si>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</si>
  <si>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</si>
  <si>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</si>
  <si>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</si>
  <si>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</si>
  <si>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</si>
  <si>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</si>
  <si>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</si>
  <si>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</si>
  <si>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</si>
  <si>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</si>
  <si>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</si>
  <si>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</si>
  <si>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</si>
  <si>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</si>
  <si>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</si>
  <si>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</si>
  <si>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</si>
  <si>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</si>
  <si>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</si>
  <si>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</si>
  <si>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</si>
  <si>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</si>
  <si>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</si>
  <si>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</si>
  <si>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</si>
  <si>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</si>
  <si>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</si>
  <si>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</si>
  <si>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</si>
  <si>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</si>
  <si>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</si>
  <si>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</si>
  <si>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</si>
  <si>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</si>
  <si>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</si>
  <si>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</si>
  <si>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</si>
  <si>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</si>
  <si>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</si>
  <si>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</si>
  <si>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</si>
  <si>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</si>
  <si>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</si>
  <si>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</si>
  <si>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</si>
  <si>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</si>
  <si>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</si>
  <si>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</si>
  <si>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</si>
  <si>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</si>
  <si>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</si>
  <si>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</si>
  <si>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</si>
  <si>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</si>
  <si>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</si>
  <si>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</si>
  <si>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</si>
  <si>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</si>
  <si>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</si>
  <si>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</si>
  <si>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</si>
  <si>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</si>
  <si>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</si>
  <si>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</si>
  <si>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</si>
  <si>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</si>
  <si>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</si>
  <si>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</si>
  <si>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</si>
  <si>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</si>
  <si>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</si>
  <si>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</si>
  <si>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</si>
  <si>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</si>
  <si>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</si>
  <si>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</si>
  <si>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</si>
  <si>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</si>
  <si>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</si>
  <si>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</si>
  <si>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</si>
  <si>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</si>
  <si>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</si>
  <si>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</si>
  <si>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</si>
  <si>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</si>
  <si>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</si>
  <si>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</si>
  <si>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</si>
  <si>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</si>
  <si>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</si>
  <si>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</si>
  <si>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</si>
  <si>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</si>
  <si>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</si>
  <si>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</si>
  <si>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</si>
  <si>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</si>
  <si>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</si>
  <si>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</si>
  <si>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</si>
  <si>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</si>
  <si>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</si>
  <si>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</si>
  <si>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</si>
  <si>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</si>
  <si>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</si>
  <si>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</si>
  <si>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</si>
  <si>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</si>
  <si>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</si>
  <si>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</si>
  <si>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</si>
  <si>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</si>
  <si>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</si>
  <si>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</si>
  <si>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</si>
  <si>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</si>
  <si>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</si>
  <si>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</si>
  <si>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</si>
  <si>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</si>
  <si>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</si>
  <si>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</si>
  <si>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</si>
  <si>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</si>
  <si>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</si>
  <si>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</si>
  <si>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</si>
  <si>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</si>
  <si>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</si>
  <si>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</si>
  <si>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</si>
  <si>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</si>
  <si>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</si>
  <si>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</si>
  <si>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</si>
  <si>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</si>
  <si>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</si>
  <si>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</si>
  <si>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</si>
  <si>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</si>
  <si>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</si>
  <si>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</si>
  <si>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</si>
  <si>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</si>
  <si>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</si>
  <si>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</si>
  <si>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</si>
  <si>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</si>
  <si>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</si>
  <si>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</si>
  <si>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</si>
  <si>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</si>
  <si>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</si>
  <si>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</si>
  <si>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</si>
  <si>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</si>
  <si>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</si>
  <si>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</si>
  <si>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</si>
  <si>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</si>
  <si>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</si>
  <si>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</si>
  <si>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</si>
  <si>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</si>
  <si>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</si>
  <si>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</si>
  <si>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</si>
  <si>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</si>
  <si>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</si>
  <si>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</si>
  <si>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</si>
  <si>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</si>
  <si>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</si>
  <si>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</si>
  <si>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</si>
  <si>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</si>
  <si>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</si>
  <si>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</si>
  <si>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</si>
  <si>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</si>
  <si>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</si>
  <si>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</si>
  <si>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</si>
  <si>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</si>
  <si>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</si>
  <si>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</si>
  <si>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</si>
  <si>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</si>
  <si>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</si>
  <si>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</si>
  <si>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</si>
  <si>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</si>
  <si>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</si>
  <si>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</si>
  <si>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</si>
  <si>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</si>
  <si>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</si>
  <si>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</si>
  <si>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</si>
  <si>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</si>
  <si>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</si>
  <si>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</si>
  <si>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</si>
  <si>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</si>
  <si>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</si>
  <si>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</si>
  <si>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</si>
  <si>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</si>
  <si>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</si>
  <si>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</si>
  <si>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</si>
  <si>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</si>
  <si>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</si>
  <si>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</si>
  <si>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</si>
  <si>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</si>
  <si>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</si>
  <si>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</si>
  <si>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</si>
  <si>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</si>
  <si>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</si>
  <si>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</si>
  <si>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</si>
  <si>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</si>
  <si>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</si>
  <si>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</si>
  <si>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</si>
  <si>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</si>
  <si>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</si>
  <si>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</si>
  <si>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</si>
  <si>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</si>
  <si>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</si>
  <si>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</si>
  <si>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</si>
  <si>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</si>
  <si>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</si>
  <si>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</si>
  <si>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</si>
  <si>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</si>
  <si>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</si>
  <si>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</si>
  <si>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</si>
  <si>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</si>
  <si>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</si>
  <si>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</si>
  <si>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</si>
  <si>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</si>
  <si>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</si>
  <si>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</si>
  <si>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</si>
  <si>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</si>
  <si>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</si>
  <si>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</si>
  <si>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</si>
  <si>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</si>
  <si>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</si>
  <si>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</si>
  <si>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</si>
  <si>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</si>
  <si>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</si>
  <si>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</si>
  <si>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</si>
  <si>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</si>
  <si>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</si>
  <si>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</si>
  <si>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</si>
  <si>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</si>
  <si>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</si>
  <si>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</si>
  <si>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</si>
  <si>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</si>
  <si>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</si>
  <si>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</si>
  <si>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</si>
  <si>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</si>
  <si>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</si>
  <si>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</si>
  <si>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</si>
  <si>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</si>
  <si>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</si>
  <si>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</si>
  <si>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</si>
  <si>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</si>
  <si>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</si>
  <si>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</si>
  <si>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</si>
  <si>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</si>
  <si>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</si>
  <si>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</si>
  <si>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</si>
  <si>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</si>
  <si>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</si>
  <si>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</si>
  <si>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</si>
  <si>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</si>
  <si>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</si>
  <si>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</si>
  <si>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</si>
  <si>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</si>
  <si>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</si>
  <si>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</si>
  <si>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</si>
  <si>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</si>
  <si>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</si>
  <si>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</si>
  <si>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</si>
  <si>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</si>
  <si>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</si>
  <si>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</si>
  <si>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</si>
  <si>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</si>
  <si>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</si>
  <si>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</si>
  <si>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</si>
  <si>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</si>
  <si>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</si>
  <si>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</si>
  <si>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</si>
  <si>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</si>
  <si>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</si>
  <si>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</si>
  <si>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</si>
  <si>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</si>
  <si>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</si>
  <si>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</si>
  <si>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</si>
  <si>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</si>
  <si>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</si>
  <si>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</si>
  <si>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</si>
  <si>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</si>
  <si>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</si>
  <si>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</si>
  <si>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</si>
  <si>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</si>
  <si>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</si>
  <si>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</si>
  <si>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</si>
  <si>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</si>
  <si>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</si>
  <si>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</si>
  <si>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</si>
  <si>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</si>
  <si>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</si>
  <si>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</si>
  <si>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</si>
  <si>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</si>
  <si>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</si>
  <si>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</si>
  <si>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</si>
  <si>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</si>
  <si>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</si>
  <si>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</si>
  <si>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</si>
  <si>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</si>
  <si>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</si>
  <si>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</si>
  <si>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</si>
  <si>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</si>
  <si>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</si>
  <si>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</si>
  <si>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</si>
  <si>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</si>
  <si>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</si>
  <si>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</si>
  <si>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</si>
  <si>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</si>
  <si>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</si>
  <si>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</si>
  <si>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</si>
  <si>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</si>
  <si>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</si>
  <si>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</si>
  <si>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</si>
  <si>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</si>
  <si>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</si>
  <si>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</si>
  <si>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</si>
  <si>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</si>
  <si>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</si>
  <si>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</si>
  <si>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</si>
  <si>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</si>
  <si>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</si>
  <si>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</si>
  <si>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</si>
  <si>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</si>
  <si>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</si>
  <si>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</si>
  <si>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</si>
  <si>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</si>
  <si>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</si>
  <si>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</si>
  <si>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</si>
  <si>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</si>
  <si>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</si>
  <si>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</si>
  <si>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</si>
  <si>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</si>
  <si>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</si>
  <si>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</si>
  <si>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</si>
  <si>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</si>
  <si>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</si>
  <si>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</si>
  <si>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</si>
  <si>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</si>
  <si>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</si>
  <si>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</si>
  <si>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</si>
  <si>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</si>
  <si>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</si>
  <si>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</si>
  <si>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</si>
  <si>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</si>
  <si>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</si>
  <si>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</si>
  <si>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</si>
  <si>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</si>
  <si>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</si>
  <si>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</si>
  <si>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</si>
  <si>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</si>
  <si>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</si>
  <si>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</si>
  <si>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</si>
  <si>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</si>
  <si>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</si>
  <si>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</si>
  <si>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</si>
  <si>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</si>
  <si>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</si>
  <si>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</si>
  <si>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</si>
  <si>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</si>
  <si>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</si>
  <si>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</si>
  <si>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</si>
  <si>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</si>
  <si>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</si>
  <si>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</si>
  <si>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</si>
  <si>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</si>
  <si>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</si>
  <si>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</si>
  <si>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</si>
  <si>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</si>
  <si>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</si>
  <si>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</si>
  <si>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</si>
  <si>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</si>
  <si>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</si>
  <si>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</si>
  <si>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</si>
  <si>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</si>
  <si>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</si>
  <si>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</si>
  <si>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</si>
  <si>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</si>
  <si>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</si>
  <si>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</si>
  <si>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</si>
  <si>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</si>
  <si>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</si>
  <si>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</si>
  <si>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</si>
  <si>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</si>
  <si>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</si>
  <si>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</si>
  <si>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</si>
  <si>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</si>
  <si>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</si>
  <si>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</si>
  <si>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</si>
  <si>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</si>
  <si>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</si>
  <si>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</si>
  <si>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</si>
  <si>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</si>
  <si>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</si>
  <si>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</si>
  <si>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</si>
  <si>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</si>
  <si>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</si>
  <si>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</si>
  <si>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</si>
  <si>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</si>
  <si>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</si>
  <si>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</si>
  <si>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</si>
  <si>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</si>
  <si>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</si>
  <si>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</si>
  <si>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</si>
  <si>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</si>
  <si>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</si>
  <si>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</si>
  <si>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</si>
  <si>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</si>
  <si>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</si>
  <si>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</si>
  <si>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</si>
  <si>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</si>
  <si>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</si>
  <si>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</si>
  <si>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</si>
  <si>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</si>
  <si>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</si>
  <si>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</si>
  <si>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</si>
  <si>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</si>
  <si>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</si>
  <si>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</si>
  <si>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</si>
  <si>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</si>
  <si>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</si>
  <si>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</si>
  <si>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</si>
  <si>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</si>
  <si>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</si>
  <si>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</si>
  <si>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</si>
  <si>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</si>
  <si>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</si>
  <si>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</si>
  <si>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</si>
  <si>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</si>
  <si>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</si>
  <si>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</si>
  <si>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</si>
  <si>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</si>
  <si>
    <t>efficacy</t>
  </si>
  <si>
    <t>Weak</t>
  </si>
  <si>
    <t>Excellent</t>
  </si>
  <si>
    <t>Average</t>
  </si>
  <si>
    <t>price</t>
  </si>
  <si>
    <t>usage</t>
  </si>
  <si>
    <t>size</t>
  </si>
  <si>
    <t>price_per_ton</t>
  </si>
  <si>
    <t>bag_size</t>
  </si>
  <si>
    <t>price_per_bag</t>
  </si>
  <si>
    <t>price_per_20l</t>
  </si>
  <si>
    <t>price_per_rai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</si>
</sst>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F15" sqref="F15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L4"/>
  <sheetViews>
    <sheetView tabSelected="1" workbookViewId="0">
      <selection activeCell="L1" sqref="L1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12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  <c r="I1" t="s">
        <v>847</v>
      </c>
      <c r="J1" t="s">
        <v>849</v>
      </c>
      <c r="K1" t="s">
        <v>848</v>
      </c>
      <c r="L1" t="s">
        <v>854</v>
      </c>
    </row>
    <row r="2" spans="1:12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  <c r="I2">
        <v>380</v>
      </c>
      <c r="J2">
        <v>0.5</v>
      </c>
      <c r="K2">
        <v>0.05</v>
      </c>
      <c r="L2">
        <f>I2/(J2/K2)</f>
        <v>38</v>
      </c>
    </row>
    <row r="3" spans="1:12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  <c r="I3">
        <v>600</v>
      </c>
      <c r="J3">
        <v>0.25</v>
      </c>
      <c r="K3">
        <v>0.03</v>
      </c>
      <c r="L3">
        <f>I3/(J3/K3)</f>
        <v>72</v>
      </c>
    </row>
    <row r="4" spans="1:12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  <c r="I4">
        <v>800</v>
      </c>
      <c r="J4">
        <v>1</v>
      </c>
      <c r="K4">
        <v>0.06</v>
      </c>
      <c r="L4">
        <f>I4/(J4/K4)</f>
        <v>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28"/>
  <sheetViews>
    <sheetView zoomScale="130" zoomScaleNormal="130" workbookViewId="0">
      <selection activeCell="G21" sqref="G21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7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  <c r="G1" t="s">
        <v>843</v>
      </c>
    </row>
    <row r="2" spans="1:7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  <c r="G2" t="s">
        <v>846</v>
      </c>
    </row>
    <row r="3" spans="1:7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  <c r="G3" t="s">
        <v>846</v>
      </c>
    </row>
    <row r="4" spans="1:7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  <c r="G4" t="s">
        <v>846</v>
      </c>
    </row>
    <row r="5" spans="1:7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  <c r="G5" t="s">
        <v>846</v>
      </c>
    </row>
    <row r="6" spans="1:7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  <c r="G6" t="s">
        <v>846</v>
      </c>
    </row>
    <row r="7" spans="1:7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  <c r="G7" t="s">
        <v>846</v>
      </c>
    </row>
    <row r="8" spans="1:7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  <c r="G8" t="s">
        <v>846</v>
      </c>
    </row>
    <row r="9" spans="1:7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  <c r="G9" t="s">
        <v>846</v>
      </c>
    </row>
    <row r="10" spans="1:7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  <c r="G10" t="s">
        <v>846</v>
      </c>
    </row>
    <row r="11" spans="1:7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  <c r="G11" t="s">
        <v>846</v>
      </c>
    </row>
    <row r="12" spans="1:7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  <c r="G12" t="s">
        <v>845</v>
      </c>
    </row>
    <row r="13" spans="1:7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  <c r="G13" t="s">
        <v>845</v>
      </c>
    </row>
    <row r="14" spans="1:7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  <c r="G14" t="s">
        <v>845</v>
      </c>
    </row>
    <row r="15" spans="1:7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  <c r="G15" t="s">
        <v>845</v>
      </c>
    </row>
    <row r="16" spans="1:7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  <c r="G16" t="s">
        <v>845</v>
      </c>
    </row>
    <row r="17" spans="1:7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  <c r="G17" t="s">
        <v>845</v>
      </c>
    </row>
    <row r="18" spans="1:7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  <c r="G18" t="s">
        <v>845</v>
      </c>
    </row>
    <row r="19" spans="1:7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  <c r="G19" t="s">
        <v>845</v>
      </c>
    </row>
    <row r="20" spans="1:7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  <c r="G20" t="s">
        <v>845</v>
      </c>
    </row>
    <row r="21" spans="1:7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  <c r="G21" t="s">
        <v>846</v>
      </c>
    </row>
    <row r="22" spans="1:7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  <c r="G22" t="s">
        <v>846</v>
      </c>
    </row>
    <row r="23" spans="1:7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  <c r="G23" t="s">
        <v>846</v>
      </c>
    </row>
    <row r="24" spans="1:7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  <c r="G24" t="s">
        <v>846</v>
      </c>
    </row>
    <row r="25" spans="1:7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  <c r="G25" t="s">
        <v>846</v>
      </c>
    </row>
    <row r="26" spans="1:7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  <c r="G26" t="s">
        <v>846</v>
      </c>
    </row>
    <row r="27" spans="1:7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  <c r="G27" t="s">
        <v>846</v>
      </c>
    </row>
    <row r="28" spans="1:7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  <c r="G28" t="s">
        <v>846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  <x14:dataValidation type="list" allowBlank="1" showInputMessage="1" showErrorMessage="1" xr:uid="{67784FF7-48E6-1946-98CE-A42DF0D46F21}">
          <x14:formula1>
            <xm:f>ref!$C$17:$C$19</xm:f>
          </x14:formula1>
          <xm:sqref>G2:G28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L4"/>
  <sheetViews>
    <sheetView workbookViewId="0">
      <selection activeCell="I5" sqref="I5"/>
    </sheetView>
  </sheetViews>
  <sheetFormatPr baseColWidth="10" defaultRowHeight="16" x14ac:dyDescent="0.2"/>
  <sheetData>
    <row r="1" spans="1:12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841</v>
      </c>
      <c r="H1" t="s">
        <v>811</v>
      </c>
      <c r="I1" t="s">
        <v>847</v>
      </c>
      <c r="J1" t="s">
        <v>849</v>
      </c>
      <c r="K1" t="s">
        <v>848</v>
      </c>
      <c r="L1" t="s">
        <v>853</v>
      </c>
    </row>
    <row r="2" spans="1:12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  <c r="I4">
        <v>40</v>
      </c>
      <c r="J4">
        <v>0.1</v>
      </c>
      <c r="K4">
        <v>0.02</v>
      </c>
      <c r="L4">
        <f>(20*I4)/J4</f>
        <v>8000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F12" sqref="F12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  <c r="F1" t="s">
        <v>843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F2" t="s">
        <v>846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F3" t="s">
        <v>846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F4" t="s">
        <v>846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F5" t="s">
        <v>846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F6" t="s">
        <v>846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F7" t="s">
        <v>846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F8" t="s">
        <v>846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F9" t="s">
        <v>846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F10" t="s">
        <v>846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F11" t="s">
        <v>846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F12" t="s">
        <v>846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F13" t="s">
        <v>846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F14" t="s">
        <v>846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  <x14:dataValidation type="list" allowBlank="1" showInputMessage="1" showErrorMessage="1" xr:uid="{C99E4DE2-4EB6-CE4B-953D-A9DB2F1F22EA}">
          <x14:formula1>
            <xm:f>ref!$C$17:$C$19</xm:f>
          </x14:formula1>
          <xm:sqref>F2:F14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L5"/>
  <sheetViews>
    <sheetView workbookViewId="0">
      <selection activeCell="I2" sqref="I2:L4"/>
    </sheetView>
  </sheetViews>
  <sheetFormatPr baseColWidth="10" defaultRowHeight="16" x14ac:dyDescent="0.2"/>
  <cols>
    <col min="4" max="4" width="16.33203125" customWidth="1"/>
    <col min="12" max="12" width="12.83203125" customWidth="1"/>
  </cols>
  <sheetData>
    <row r="1" spans="1:12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842</v>
      </c>
      <c r="H1" t="s">
        <v>811</v>
      </c>
      <c r="I1" t="s">
        <v>847</v>
      </c>
      <c r="J1" t="s">
        <v>849</v>
      </c>
      <c r="K1" t="s">
        <v>848</v>
      </c>
      <c r="L1" t="s">
        <v>853</v>
      </c>
    </row>
    <row r="2" spans="1:12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  <c r="I4">
        <v>350</v>
      </c>
      <c r="J4">
        <v>5</v>
      </c>
      <c r="K4">
        <v>1</v>
      </c>
      <c r="L4">
        <f>(20*I4)/J4</f>
        <v>1400</v>
      </c>
    </row>
    <row r="5" spans="1:12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  <c r="I5">
        <v>690</v>
      </c>
      <c r="J5">
        <v>1</v>
      </c>
      <c r="K5">
        <v>0.4</v>
      </c>
      <c r="L5">
        <f>(20*I5)/J5</f>
        <v>13800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19"/>
  <sheetViews>
    <sheetView zoomScale="130" zoomScaleNormal="130" workbookViewId="0">
      <selection activeCell="F19" sqref="F19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  <c r="F1" t="s">
        <v>843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  <c r="F2" t="s">
        <v>846</v>
      </c>
    </row>
    <row r="3" spans="1:6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  <c r="F3" t="s">
        <v>846</v>
      </c>
    </row>
    <row r="4" spans="1:6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  <c r="F4" t="s">
        <v>846</v>
      </c>
    </row>
    <row r="5" spans="1:6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  <c r="F5" t="s">
        <v>846</v>
      </c>
    </row>
    <row r="6" spans="1:6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  <c r="F6" t="s">
        <v>846</v>
      </c>
    </row>
    <row r="7" spans="1:6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  <c r="F7" t="s">
        <v>846</v>
      </c>
    </row>
    <row r="8" spans="1:6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  <c r="F8" t="s">
        <v>846</v>
      </c>
    </row>
    <row r="9" spans="1:6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  <c r="F9" t="s">
        <v>846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  <c r="F10" t="s">
        <v>846</v>
      </c>
    </row>
    <row r="11" spans="1:6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  <c r="F11" t="s">
        <v>846</v>
      </c>
    </row>
    <row r="12" spans="1:6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  <c r="F12" t="s">
        <v>846</v>
      </c>
    </row>
    <row r="13" spans="1:6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  <c r="F13" t="s">
        <v>846</v>
      </c>
    </row>
    <row r="14" spans="1:6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  <c r="F14" t="s">
        <v>846</v>
      </c>
    </row>
    <row r="15" spans="1:6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  <c r="F15" t="s">
        <v>846</v>
      </c>
    </row>
    <row r="16" spans="1:6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  <c r="F16" t="s">
        <v>846</v>
      </c>
    </row>
    <row r="17" spans="1:6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  <c r="F17" t="s">
        <v>846</v>
      </c>
    </row>
    <row r="18" spans="1:6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  <c r="F18" t="s">
        <v>845</v>
      </c>
    </row>
    <row r="19" spans="1:6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  <c r="F19" t="s">
        <v>845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0D3A18-579D-A94A-8A80-B21A71B4AAA9}">
          <x14:formula1>
            <xm:f>ref!$C$17:$C$19</xm:f>
          </x14:formula1>
          <xm:sqref>F2:F19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G16"/>
  <sheetViews>
    <sheetView workbookViewId="0">
      <selection activeCell="G16" sqref="G16"/>
    </sheetView>
  </sheetViews>
  <sheetFormatPr baseColWidth="10" defaultRowHeight="16" x14ac:dyDescent="0.2"/>
  <cols>
    <col min="5" max="5" width="13" customWidth="1"/>
    <col min="7" max="7" width="14.33203125" customWidth="1"/>
  </cols>
  <sheetData>
    <row r="1" spans="1:7" x14ac:dyDescent="0.2">
      <c r="A1" t="s">
        <v>822</v>
      </c>
      <c r="B1" s="6" t="s">
        <v>154</v>
      </c>
      <c r="C1" s="6" t="s">
        <v>153</v>
      </c>
      <c r="D1" t="s">
        <v>811</v>
      </c>
      <c r="E1" t="s">
        <v>850</v>
      </c>
      <c r="F1" t="s">
        <v>851</v>
      </c>
      <c r="G1" t="s">
        <v>852</v>
      </c>
    </row>
    <row r="2" spans="1:7" x14ac:dyDescent="0.2">
      <c r="A2" t="s">
        <v>823</v>
      </c>
      <c r="B2" s="6" t="s">
        <v>155</v>
      </c>
      <c r="C2" s="7" t="s">
        <v>170</v>
      </c>
      <c r="D2" t="s">
        <v>838</v>
      </c>
      <c r="E2">
        <v>20000</v>
      </c>
      <c r="F2">
        <v>50</v>
      </c>
      <c r="G2">
        <f>E2/(1000/F2)</f>
        <v>1000</v>
      </c>
    </row>
    <row r="3" spans="1:7" x14ac:dyDescent="0.2">
      <c r="A3" t="s">
        <v>824</v>
      </c>
      <c r="B3" s="6" t="s">
        <v>155</v>
      </c>
      <c r="C3" s="7" t="s">
        <v>35</v>
      </c>
      <c r="D3" t="s">
        <v>838</v>
      </c>
      <c r="E3">
        <v>23000</v>
      </c>
      <c r="F3">
        <v>50</v>
      </c>
      <c r="G3">
        <f t="shared" ref="G3:G16" si="0">E3/(1000/F3)</f>
        <v>1150</v>
      </c>
    </row>
    <row r="4" spans="1:7" x14ac:dyDescent="0.2">
      <c r="A4" t="s">
        <v>825</v>
      </c>
      <c r="B4" s="6" t="s">
        <v>155</v>
      </c>
      <c r="C4" s="6" t="s">
        <v>34</v>
      </c>
      <c r="D4" t="s">
        <v>839</v>
      </c>
      <c r="E4">
        <v>3000</v>
      </c>
      <c r="F4">
        <v>50</v>
      </c>
      <c r="G4">
        <f t="shared" si="0"/>
        <v>150</v>
      </c>
    </row>
    <row r="5" spans="1:7" x14ac:dyDescent="0.2">
      <c r="A5" t="s">
        <v>826</v>
      </c>
      <c r="B5" s="6" t="s">
        <v>155</v>
      </c>
      <c r="C5" s="7" t="s">
        <v>171</v>
      </c>
      <c r="D5" t="s">
        <v>838</v>
      </c>
      <c r="E5">
        <v>25000</v>
      </c>
      <c r="F5">
        <v>50</v>
      </c>
      <c r="G5">
        <f t="shared" si="0"/>
        <v>1250</v>
      </c>
    </row>
    <row r="6" spans="1:7" x14ac:dyDescent="0.2">
      <c r="A6" t="s">
        <v>827</v>
      </c>
      <c r="B6" s="6" t="s">
        <v>155</v>
      </c>
      <c r="C6" s="7" t="s">
        <v>157</v>
      </c>
      <c r="D6" t="s">
        <v>838</v>
      </c>
      <c r="E6">
        <v>24000</v>
      </c>
      <c r="F6">
        <v>50</v>
      </c>
      <c r="G6">
        <f t="shared" si="0"/>
        <v>1200</v>
      </c>
    </row>
    <row r="7" spans="1:7" x14ac:dyDescent="0.2">
      <c r="A7" t="s">
        <v>828</v>
      </c>
      <c r="B7" s="6" t="s">
        <v>156</v>
      </c>
      <c r="C7" s="7" t="s">
        <v>157</v>
      </c>
      <c r="D7" t="s">
        <v>838</v>
      </c>
      <c r="E7">
        <v>24000</v>
      </c>
      <c r="F7">
        <v>50</v>
      </c>
      <c r="G7">
        <f t="shared" si="0"/>
        <v>1200</v>
      </c>
    </row>
    <row r="8" spans="1:7" x14ac:dyDescent="0.2">
      <c r="A8" t="s">
        <v>829</v>
      </c>
      <c r="B8" s="6" t="s">
        <v>158</v>
      </c>
      <c r="C8" s="7" t="s">
        <v>34</v>
      </c>
      <c r="D8" t="s">
        <v>838</v>
      </c>
      <c r="E8">
        <v>24000</v>
      </c>
      <c r="F8">
        <v>50</v>
      </c>
      <c r="G8">
        <f t="shared" si="0"/>
        <v>1200</v>
      </c>
    </row>
    <row r="9" spans="1:7" x14ac:dyDescent="0.2">
      <c r="A9" t="s">
        <v>830</v>
      </c>
      <c r="B9" s="6" t="s">
        <v>158</v>
      </c>
      <c r="C9" s="7" t="s">
        <v>36</v>
      </c>
      <c r="D9" t="s">
        <v>838</v>
      </c>
      <c r="E9">
        <v>24000</v>
      </c>
      <c r="F9">
        <v>50</v>
      </c>
      <c r="G9">
        <f t="shared" si="0"/>
        <v>1200</v>
      </c>
    </row>
    <row r="10" spans="1:7" x14ac:dyDescent="0.2">
      <c r="A10" t="s">
        <v>831</v>
      </c>
      <c r="B10" s="6" t="s">
        <v>158</v>
      </c>
      <c r="C10" s="7" t="s">
        <v>159</v>
      </c>
      <c r="D10" t="s">
        <v>838</v>
      </c>
      <c r="E10">
        <v>24000</v>
      </c>
      <c r="F10">
        <v>50</v>
      </c>
      <c r="G10">
        <f t="shared" si="0"/>
        <v>1200</v>
      </c>
    </row>
    <row r="11" spans="1:7" x14ac:dyDescent="0.2">
      <c r="A11" t="s">
        <v>832</v>
      </c>
      <c r="B11" s="6" t="s">
        <v>160</v>
      </c>
      <c r="C11" s="7" t="s">
        <v>161</v>
      </c>
      <c r="D11" t="s">
        <v>838</v>
      </c>
      <c r="E11">
        <v>24000</v>
      </c>
      <c r="F11">
        <v>50</v>
      </c>
      <c r="G11">
        <f t="shared" si="0"/>
        <v>1200</v>
      </c>
    </row>
    <row r="12" spans="1:7" x14ac:dyDescent="0.2">
      <c r="A12" t="s">
        <v>833</v>
      </c>
      <c r="B12" s="6" t="s">
        <v>162</v>
      </c>
      <c r="C12" s="7" t="s">
        <v>163</v>
      </c>
      <c r="D12" t="s">
        <v>838</v>
      </c>
      <c r="E12">
        <v>26000</v>
      </c>
      <c r="F12">
        <v>50</v>
      </c>
      <c r="G12">
        <f t="shared" si="0"/>
        <v>1300</v>
      </c>
    </row>
    <row r="13" spans="1:7" x14ac:dyDescent="0.2">
      <c r="A13" t="s">
        <v>834</v>
      </c>
      <c r="B13" s="6" t="s">
        <v>166</v>
      </c>
      <c r="C13" s="7" t="s">
        <v>164</v>
      </c>
      <c r="D13" t="s">
        <v>838</v>
      </c>
      <c r="E13">
        <v>24000</v>
      </c>
      <c r="F13">
        <v>50</v>
      </c>
      <c r="G13">
        <f t="shared" si="0"/>
        <v>1200</v>
      </c>
    </row>
    <row r="14" spans="1:7" x14ac:dyDescent="0.2">
      <c r="A14" t="s">
        <v>835</v>
      </c>
      <c r="B14" s="6" t="s">
        <v>167</v>
      </c>
      <c r="C14" s="7" t="s">
        <v>165</v>
      </c>
      <c r="D14" t="s">
        <v>838</v>
      </c>
      <c r="E14">
        <v>24000</v>
      </c>
      <c r="F14">
        <v>50</v>
      </c>
      <c r="G14">
        <f t="shared" si="0"/>
        <v>1200</v>
      </c>
    </row>
    <row r="15" spans="1:7" x14ac:dyDescent="0.2">
      <c r="A15" t="s">
        <v>836</v>
      </c>
      <c r="B15" s="6" t="s">
        <v>168</v>
      </c>
      <c r="C15" s="7" t="s">
        <v>37</v>
      </c>
      <c r="D15" t="s">
        <v>838</v>
      </c>
      <c r="E15">
        <v>24000</v>
      </c>
      <c r="F15">
        <v>50</v>
      </c>
      <c r="G15">
        <f t="shared" si="0"/>
        <v>1200</v>
      </c>
    </row>
    <row r="16" spans="1:7" x14ac:dyDescent="0.2">
      <c r="A16" t="s">
        <v>837</v>
      </c>
      <c r="B16" s="6" t="s">
        <v>169</v>
      </c>
      <c r="C16" s="7" t="s">
        <v>36</v>
      </c>
      <c r="D16" t="s">
        <v>838</v>
      </c>
      <c r="E16">
        <v>24000</v>
      </c>
      <c r="F16">
        <v>50</v>
      </c>
      <c r="G16">
        <f t="shared" si="0"/>
        <v>1200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G37" sqref="G3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C16" t="s">
        <v>843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C17" t="s">
        <v>845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C18" t="s">
        <v>846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C19" t="s">
        <v>844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2026-09-02T09:04:38Z</dcterms:modified>
</cp:coreProperties>
</file>