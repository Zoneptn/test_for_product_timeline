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ngthanatburanachon/Desktop/work/dashboard/crop_timeline/"/>
    </mc:Choice>
  </mc:AlternateContent>
  <xr:revisionPtr revIDLastSave="0" documentId="13_ncr:1_{9CE6997E-3A61-784E-B38E-E4B4C8D1616F}" xr6:coauthVersionLast="47" xr6:coauthVersionMax="47" xr10:uidLastSave="{00000000-0000-0000-0000-000000000000}"/>
  <bookViews>
    <workbookView xWindow="45160" yWindow="-5160" windowWidth="23440" windowHeight="19500" firstSheet="3" activeTab="9" xr2:uid="{BADFB13E-FBB2-E340-984B-DD0D2D768ACB}"/>
  </bookViews>
  <sheets>
    <sheet name="crop_stage" sheetId="1" r:id="rId1"/>
    <sheet name="crop_weeds" sheetId="3" r:id="rId2"/>
    <sheet name="crop_pest" sheetId="2" r:id="rId3"/>
    <sheet name="crop_disease" sheetId="4" r:id="rId4"/>
    <sheet name="crop_fer" sheetId="11" r:id="rId5"/>
    <sheet name="prod_her" sheetId="12" r:id="rId6"/>
    <sheet name="weed_her" sheetId="5" r:id="rId7"/>
    <sheet name="prod_ins" sheetId="13" r:id="rId8"/>
    <sheet name="pest_ins" sheetId="6" r:id="rId9"/>
    <sheet name="prod_fun" sheetId="14" r:id="rId10"/>
    <sheet name="disease_fun" sheetId="7" r:id="rId11"/>
    <sheet name="prod_fer" sheetId="16" r:id="rId12"/>
    <sheet name="fertilizer" sheetId="8" r:id="rId13"/>
    <sheet name="crop_ref" sheetId="10" r:id="rId14"/>
    <sheet name="ref" sheetId="9" r:id="rId15"/>
  </sheets>
  <definedNames>
    <definedName name="_xlnm._FilterDatabase" localSheetId="3" hidden="1">crop_disease!$A$1:$H$19</definedName>
    <definedName name="_xlnm._FilterDatabase" localSheetId="2" hidden="1">crop_pest!$A$1:$G$52</definedName>
    <definedName name="_xlnm._FilterDatabase" localSheetId="0" hidden="1">crop_stage!$A$1:$F$38</definedName>
    <definedName name="_xlnm._FilterDatabase" localSheetId="1" hidden="1">crop_weeds!$A$1:$J$24</definedName>
    <definedName name="_xlnm._FilterDatabase" localSheetId="6" hidden="1">weed_her!$A$1:$F$86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" i="5"/>
  <c r="C28" i="5"/>
  <c r="C27" i="5"/>
  <c r="C26" i="5"/>
  <c r="C25" i="5"/>
  <c r="C24" i="5"/>
  <c r="C14" i="5"/>
  <c r="C15" i="5"/>
  <c r="C16" i="5"/>
  <c r="C17" i="5"/>
  <c r="C11" i="5"/>
  <c r="C12" i="5"/>
  <c r="C13" i="5"/>
  <c r="C21" i="5"/>
  <c r="C22" i="5"/>
  <c r="C23" i="5"/>
  <c r="C18" i="5"/>
  <c r="C19" i="5"/>
  <c r="C20" i="5"/>
  <c r="C3" i="5" l="1"/>
  <c r="C4" i="5"/>
  <c r="C5" i="5"/>
  <c r="C6" i="5"/>
  <c r="C7" i="5"/>
  <c r="C8" i="5"/>
  <c r="C9" i="5"/>
  <c r="C10" i="5"/>
  <c r="C2" i="5"/>
  <c r="B11" i="6"/>
  <c r="B12" i="6"/>
  <c r="B13" i="6"/>
  <c r="B14" i="6"/>
  <c r="B3" i="6"/>
  <c r="B4" i="6"/>
  <c r="B5" i="6"/>
  <c r="B6" i="6"/>
  <c r="B7" i="6"/>
  <c r="B8" i="6"/>
  <c r="B9" i="6"/>
  <c r="B10" i="6"/>
  <c r="B2" i="6"/>
  <c r="B17" i="7"/>
  <c r="B18" i="7"/>
  <c r="B19" i="7"/>
  <c r="B15" i="7"/>
  <c r="B13" i="7"/>
  <c r="B11" i="7"/>
  <c r="B9" i="7"/>
  <c r="B7" i="7"/>
  <c r="B5" i="7"/>
  <c r="B3" i="7"/>
  <c r="B14" i="7" l="1"/>
  <c r="B4" i="7"/>
  <c r="B6" i="7"/>
  <c r="B8" i="7"/>
  <c r="B10" i="7"/>
  <c r="B12" i="7"/>
  <c r="B16" i="7" l="1"/>
  <c r="B2" i="7"/>
</calcChain>
</file>

<file path=xl/sharedStrings.xml><?xml version="1.0" encoding="utf-8"?>
<sst xmlns="http://schemas.openxmlformats.org/spreadsheetml/2006/main" count="1783" uniqueCount="841">
  <si>
    <t>crop_id</t>
  </si>
  <si>
    <t xml:space="preserve">crop </t>
  </si>
  <si>
    <t>c001</t>
  </si>
  <si>
    <t>stage</t>
  </si>
  <si>
    <t>start_day</t>
  </si>
  <si>
    <t>end_day</t>
  </si>
  <si>
    <t>pest_id</t>
  </si>
  <si>
    <t>pest_name_en</t>
  </si>
  <si>
    <t>pest_name_th</t>
  </si>
  <si>
    <t>weed_id</t>
  </si>
  <si>
    <t>weed_name_en</t>
  </si>
  <si>
    <t>weed_name_th</t>
  </si>
  <si>
    <t>w001</t>
  </si>
  <si>
    <t>w002</t>
  </si>
  <si>
    <t>w003</t>
  </si>
  <si>
    <t>w004</t>
  </si>
  <si>
    <t>w005</t>
  </si>
  <si>
    <t>แห้วหมู</t>
  </si>
  <si>
    <t>disease_id</t>
  </si>
  <si>
    <t>disease_name_en</t>
  </si>
  <si>
    <t>disease_name_th</t>
  </si>
  <si>
    <t>d001</t>
  </si>
  <si>
    <t>d002</t>
  </si>
  <si>
    <t>d003</t>
  </si>
  <si>
    <t>d004</t>
  </si>
  <si>
    <t>d005</t>
  </si>
  <si>
    <t>type</t>
  </si>
  <si>
    <t>Fungus</t>
  </si>
  <si>
    <t>common_name</t>
  </si>
  <si>
    <t>p001</t>
  </si>
  <si>
    <t>p002</t>
  </si>
  <si>
    <t>p003</t>
  </si>
  <si>
    <t>p004</t>
  </si>
  <si>
    <t>p005</t>
  </si>
  <si>
    <t>20-20-0</t>
  </si>
  <si>
    <t>15-15-15</t>
  </si>
  <si>
    <t>16-16-16</t>
  </si>
  <si>
    <t>8-24-24</t>
  </si>
  <si>
    <t>rice(120 days)</t>
  </si>
  <si>
    <t>stage_th</t>
  </si>
  <si>
    <t>Rice thrips</t>
  </si>
  <si>
    <t>เพลี้ยไฟข้าว</t>
  </si>
  <si>
    <t>Brown planthopper</t>
  </si>
  <si>
    <t>เพลี้ยกระโดดสีน้ำตาล</t>
  </si>
  <si>
    <t>Rice stem borer</t>
  </si>
  <si>
    <t>หนอนกอข้าว</t>
  </si>
  <si>
    <t>หนอนห่อใบข้าว</t>
  </si>
  <si>
    <t>p006</t>
  </si>
  <si>
    <t>โรคไหม้</t>
  </si>
  <si>
    <t>โรคกาบใบแห้ง</t>
  </si>
  <si>
    <t>โรคขอบใบแห้ง</t>
  </si>
  <si>
    <t>d006</t>
  </si>
  <si>
    <t>หญ้าข้าวนก</t>
  </si>
  <si>
    <t>weed_science</t>
  </si>
  <si>
    <t>หญ้าดอกขาว</t>
  </si>
  <si>
    <t>grass</t>
  </si>
  <si>
    <t>sprangletop</t>
  </si>
  <si>
    <t>Leptochloa chinensis (L.) Nees</t>
  </si>
  <si>
    <t xml:space="preserve">Echinochloa crus-galli (L.) Beauv. </t>
  </si>
  <si>
    <t xml:space="preserve">หญ้านกสีชมพู </t>
  </si>
  <si>
    <t>Echinochloa colona (L.) Link</t>
  </si>
  <si>
    <t>jungle rice</t>
  </si>
  <si>
    <t xml:space="preserve">wrinkle duck-beak </t>
  </si>
  <si>
    <t>หญ้ากระดูกไก่</t>
  </si>
  <si>
    <t>Ischaemum rugosum Salisb.</t>
  </si>
  <si>
    <t>กกทราย</t>
  </si>
  <si>
    <t>sedge</t>
  </si>
  <si>
    <t>Cyperus iria L.</t>
  </si>
  <si>
    <t>w006</t>
  </si>
  <si>
    <t>umbrella sedge</t>
  </si>
  <si>
    <t>barnyard grass</t>
  </si>
  <si>
    <t>Cyperus difformis L.</t>
  </si>
  <si>
    <t>กกขนาก</t>
  </si>
  <si>
    <t>w007</t>
  </si>
  <si>
    <t>grass-like fimbristylis</t>
  </si>
  <si>
    <t>w008</t>
  </si>
  <si>
    <t>Fimbristylis miliacea (L.) Vahl.</t>
  </si>
  <si>
    <t>หนวดปลาดุก</t>
  </si>
  <si>
    <t>goose weed</t>
  </si>
  <si>
    <t>Sphenoclea zeylanica Gaertn.</t>
  </si>
  <si>
    <t>w009</t>
  </si>
  <si>
    <t>smallflower umbrella sedge</t>
  </si>
  <si>
    <t>purple nut sedge</t>
  </si>
  <si>
    <t>w010</t>
  </si>
  <si>
    <t>w011</t>
  </si>
  <si>
    <t>ผักปอดนา</t>
  </si>
  <si>
    <t>Cyperus rotundus L.</t>
  </si>
  <si>
    <t>broadleaf</t>
  </si>
  <si>
    <t>เทียนนา</t>
  </si>
  <si>
    <t>seedbox</t>
  </si>
  <si>
    <t>Ludwigia hyssopifolia (G.Don) Exell</t>
  </si>
  <si>
    <t>ข้าววัชพืช</t>
  </si>
  <si>
    <t>weedy rice</t>
  </si>
  <si>
    <t>order</t>
  </si>
  <si>
    <t>Thysanoptera</t>
  </si>
  <si>
    <t>Gastropoda</t>
  </si>
  <si>
    <t>Golden apple snail</t>
  </si>
  <si>
    <t>หอยเชอรี่</t>
  </si>
  <si>
    <t>Coleoptera</t>
  </si>
  <si>
    <t>Lepidoptera</t>
  </si>
  <si>
    <t>Rice seedling armyworm</t>
  </si>
  <si>
    <t>หนอนกระทู้กล้า</t>
  </si>
  <si>
    <t>Hemiptera</t>
  </si>
  <si>
    <t>Rice black bug</t>
  </si>
  <si>
    <t>Diptera</t>
  </si>
  <si>
    <t>Rice gall midge</t>
  </si>
  <si>
    <t>แมลงบั่ว</t>
  </si>
  <si>
    <t>Rice hispa</t>
  </si>
  <si>
    <t>แมลงดำหนาม</t>
  </si>
  <si>
    <t>Rice leaffolder</t>
  </si>
  <si>
    <t>แมลงหล่า</t>
  </si>
  <si>
    <t>Rice ear bug</t>
  </si>
  <si>
    <t>แมลงสิง</t>
  </si>
  <si>
    <t>Rice ear-cutting caterpillar</t>
  </si>
  <si>
    <t>หนอนกระทู้คอรวง</t>
  </si>
  <si>
    <t>p007</t>
  </si>
  <si>
    <t>p008</t>
  </si>
  <si>
    <t>p009</t>
  </si>
  <si>
    <t>p010</t>
  </si>
  <si>
    <t>p011</t>
  </si>
  <si>
    <t>p012</t>
  </si>
  <si>
    <t>Rice Blast</t>
  </si>
  <si>
    <t>Brown Spot</t>
  </si>
  <si>
    <t>Narrow Brown Spot</t>
  </si>
  <si>
    <t>Dirty Panicle</t>
  </si>
  <si>
    <t>Sheath Blight</t>
  </si>
  <si>
    <t>Sheath Rot</t>
  </si>
  <si>
    <t>False Smut</t>
  </si>
  <si>
    <t>Bacterial Leaf Blight</t>
  </si>
  <si>
    <t>Bacterial Leaf Streak</t>
  </si>
  <si>
    <t>d007</t>
  </si>
  <si>
    <t>d008</t>
  </si>
  <si>
    <t>d009</t>
  </si>
  <si>
    <t>โรคใบจุดสีน้ำตาล</t>
  </si>
  <si>
    <t>โรคใบขีดสีน้ำตาล</t>
  </si>
  <si>
    <t>โรคเมล็ดด่าง</t>
  </si>
  <si>
    <t>โรคกาบใบเน่า</t>
  </si>
  <si>
    <t>โรคดอกกระถิน</t>
  </si>
  <si>
    <t>โรคใบขีดโปร่งแสง</t>
  </si>
  <si>
    <t>Magnaporthe oryzae</t>
  </si>
  <si>
    <t>Bipolaris oryzae</t>
  </si>
  <si>
    <t>Cercospora janseana (syn. C. oryzae)</t>
  </si>
  <si>
    <t>Complex: Bipolaris spp., Curvularia spp., Fusarium spp., Sarocladium oryzae</t>
  </si>
  <si>
    <t>Rhizoctonia solani</t>
  </si>
  <si>
    <t>Sarocladium oryzae</t>
  </si>
  <si>
    <t>Ustilaginoidea virens</t>
  </si>
  <si>
    <t>Xanthomonas oryzae pv. oryzae</t>
  </si>
  <si>
    <t>Xanthomonas oryzae pv. oryzicola</t>
  </si>
  <si>
    <t>disease_name_sc</t>
  </si>
  <si>
    <t>Fungus (complex)</t>
  </si>
  <si>
    <t>Bacterium</t>
  </si>
  <si>
    <t>rice (120 days)</t>
  </si>
  <si>
    <t>fertilizer</t>
  </si>
  <si>
    <t>formula</t>
  </si>
  <si>
    <t>brand</t>
  </si>
  <si>
    <t>พีรามิด</t>
  </si>
  <si>
    <t>entec</t>
  </si>
  <si>
    <t>12-12-17</t>
  </si>
  <si>
    <t>พีรามิด-เอส</t>
  </si>
  <si>
    <t>19-4-19</t>
  </si>
  <si>
    <t>คอร์น คาลี</t>
  </si>
  <si>
    <t>0-0-40</t>
  </si>
  <si>
    <t>blaukorn</t>
  </si>
  <si>
    <t>24-5-5</t>
  </si>
  <si>
    <t>20-5-8</t>
  </si>
  <si>
    <t>11-48-0</t>
  </si>
  <si>
    <t>floranid</t>
  </si>
  <si>
    <t>EasyStart</t>
  </si>
  <si>
    <t>พีรามิด-โกร</t>
  </si>
  <si>
    <t>โซลูเทค</t>
  </si>
  <si>
    <t>20-10-10</t>
  </si>
  <si>
    <t>13-10-20</t>
  </si>
  <si>
    <t>แมลงหวี่ขาว</t>
  </si>
  <si>
    <t>Whitefly</t>
  </si>
  <si>
    <t>Seedling Stage</t>
  </si>
  <si>
    <t>ระยะกล้า</t>
  </si>
  <si>
    <t>Tillering</t>
  </si>
  <si>
    <t>ระยะแตกกอ</t>
  </si>
  <si>
    <t>Stem Elongation</t>
  </si>
  <si>
    <t>ระยะยืดลำต้น</t>
  </si>
  <si>
    <t>Panicle Initiation &amp; Booting Stage</t>
  </si>
  <si>
    <t>ระยะเริ่มสร้างช่อดอกและระยะบูต</t>
  </si>
  <si>
    <t>Heading</t>
  </si>
  <si>
    <t>ระยะออกรวง</t>
  </si>
  <si>
    <t>Flowering (Anthesis)</t>
  </si>
  <si>
    <t>ระยะออกดอก</t>
  </si>
  <si>
    <t>Milk Stage</t>
  </si>
  <si>
    <t>ระยะน้ำนม</t>
  </si>
  <si>
    <t>Dough Stage</t>
  </si>
  <si>
    <t>ระยะแป้ง</t>
  </si>
  <si>
    <t>Maturity &amp; Harvest</t>
  </si>
  <si>
    <t>ระยะแก่และเก็บเกี่ยว</t>
  </si>
  <si>
    <t>hrac_code</t>
  </si>
  <si>
    <t>M01</t>
  </si>
  <si>
    <t>c002</t>
  </si>
  <si>
    <t>rice(100 days)</t>
  </si>
  <si>
    <t>c003</t>
  </si>
  <si>
    <t>durian (new tree)</t>
  </si>
  <si>
    <t>Site Preparation &amp; Planting</t>
  </si>
  <si>
    <t>เตรียมพื้นที่และปลูก</t>
  </si>
  <si>
    <t>Establishment</t>
  </si>
  <si>
    <t>ระยะตั้งตัวหลังปลูก</t>
  </si>
  <si>
    <t>Early Vegetative Growth</t>
  </si>
  <si>
    <t>ระยะเจริญเติบโตทางลำต้นและใบระยะแรก</t>
  </si>
  <si>
    <t>Canopy &amp; Structural Branch Development</t>
  </si>
  <si>
    <t>ระยะสร้างทรงพุ่มและกิ่งโครงสร้าง</t>
  </si>
  <si>
    <t>Vegetative Expansion</t>
  </si>
  <si>
    <t>ระยะขยายทรงพุ่มและเพิ่มการแตกใบ</t>
  </si>
  <si>
    <t>Canopy Development &amp; Maintenance</t>
  </si>
  <si>
    <t>ระยะพัฒนาทรงพุ่มและบำรุงต้น</t>
  </si>
  <si>
    <t>Pre-bearing / Tree Maturation</t>
  </si>
  <si>
    <t>ระยะเตรียมต้นก่อนให้ผลผลิต</t>
  </si>
  <si>
    <t>c004</t>
  </si>
  <si>
    <t>durian (bearing tree)</t>
  </si>
  <si>
    <t>Post-Harvest Recovery</t>
  </si>
  <si>
    <t>ระยะฟื้นฟูต้นหลังเก็บเกี่ยว</t>
  </si>
  <si>
    <t>Vegetative Flush 1</t>
  </si>
  <si>
    <t>ระยะแตกใบชุดที่ 1</t>
  </si>
  <si>
    <t>Vegetative Flush 2</t>
  </si>
  <si>
    <t>ระยะแตกใบชุดที่ 2</t>
  </si>
  <si>
    <t>Vegetative Flush 3 / Canopy Development</t>
  </si>
  <si>
    <t>ระยะแตกใบชุดที่ 3 และพัฒนาทรงพุ่ม</t>
  </si>
  <si>
    <t>Leaf Maturation &amp; Food Accumulation</t>
  </si>
  <si>
    <t>ระยะใบแก่และสะสมอาหาร</t>
  </si>
  <si>
    <t>Flower Induction / Pre-Flowering Preparation</t>
  </si>
  <si>
    <t>ระยะเตรียมต้นและชักนำการออกดอก</t>
  </si>
  <si>
    <t>Flowering</t>
  </si>
  <si>
    <t>Fruit Set &amp; Early Fruit Development</t>
  </si>
  <si>
    <t>ระยะติดผลและพัฒนาผลระยะแรก</t>
  </si>
  <si>
    <t>Fruit Development</t>
  </si>
  <si>
    <t>ระยะพัฒนาผล</t>
  </si>
  <si>
    <t>Fruit Enlargement &amp; Quality Development</t>
  </si>
  <si>
    <t>ระยะขยายผลและพัฒนาคุณภาพ</t>
  </si>
  <si>
    <t>Fruit Maturation</t>
  </si>
  <si>
    <t>ระยะผลแก่</t>
  </si>
  <si>
    <t>Harvest</t>
  </si>
  <si>
    <t>ระยะเก็บเกี่ยว</t>
  </si>
  <si>
    <t>หนอนเจาะเมล็ดทุเรียน</t>
  </si>
  <si>
    <t>เพลี้ยไก่แจ้ทุเรียน</t>
  </si>
  <si>
    <t>หนอนเจาะผลทุเรียน</t>
  </si>
  <si>
    <t>เพลี้ยแป้ง</t>
  </si>
  <si>
    <t>มอดเจาะลำต้น</t>
  </si>
  <si>
    <t>หนอนด้วงหนวดยาวเจาะลำต้น</t>
  </si>
  <si>
    <t>เพลี้ยหอยเกล็ดทุเรียน</t>
  </si>
  <si>
    <t>เพลี้ยจักจั่นฝอยทุเรียน</t>
  </si>
  <si>
    <t>แมลงค่อมทอง</t>
  </si>
  <si>
    <t>หนอนกินใบ</t>
  </si>
  <si>
    <t>Durian seed borer</t>
  </si>
  <si>
    <t>Durian psyllid</t>
  </si>
  <si>
    <t>Longhorn beetle</t>
  </si>
  <si>
    <t>Durian armored scale</t>
  </si>
  <si>
    <t>Durian leafhopper</t>
  </si>
  <si>
    <t>Golden weevil</t>
  </si>
  <si>
    <t>Leaf-eating caterpillars</t>
  </si>
  <si>
    <t>Thrips</t>
  </si>
  <si>
    <t>เพลี้ยไฟ</t>
  </si>
  <si>
    <t>ไรแดงแอฟริกัน</t>
  </si>
  <si>
    <t>African red mite</t>
  </si>
  <si>
    <t>Durian fruit borer</t>
  </si>
  <si>
    <t>Mealybugs</t>
  </si>
  <si>
    <t>Ambrosia / shot-hole beetle</t>
  </si>
  <si>
    <t>Acari</t>
  </si>
  <si>
    <t>fipronil</t>
  </si>
  <si>
    <t>carbendazim</t>
  </si>
  <si>
    <t>Heading&amp;Flowering</t>
  </si>
  <si>
    <t>ระยะน้ำนมและเก็บเกี่ยว</t>
  </si>
  <si>
    <t>pre-emergence</t>
  </si>
  <si>
    <t>early-post emergence</t>
  </si>
  <si>
    <t>late-post emergence</t>
  </si>
  <si>
    <t>ระยะตั้งท้องออกรวง</t>
  </si>
  <si>
    <t>weed_stage</t>
  </si>
  <si>
    <t>ws001</t>
  </si>
  <si>
    <t>ws002</t>
  </si>
  <si>
    <t>ws003</t>
  </si>
  <si>
    <t>ws_id</t>
  </si>
  <si>
    <t>butachlor</t>
  </si>
  <si>
    <t>pretilachlor</t>
  </si>
  <si>
    <t>pendimethalin</t>
  </si>
  <si>
    <t>butachlor+propanil</t>
  </si>
  <si>
    <t>bispyribac-sodium</t>
  </si>
  <si>
    <t>profoxydim</t>
  </si>
  <si>
    <t>6</t>
  </si>
  <si>
    <t>15</t>
  </si>
  <si>
    <t>Oryza sativa complex</t>
  </si>
  <si>
    <t xml:space="preserve">1st application </t>
  </si>
  <si>
    <t>2nd application</t>
  </si>
  <si>
    <t>3rd application</t>
  </si>
  <si>
    <t>granular</t>
  </si>
  <si>
    <t>chemical_name</t>
  </si>
  <si>
    <t>1-naphthylaceticacid</t>
  </si>
  <si>
    <t>2-amino-4,5-dihydro-6-methyl-4-propyl-triazole-[1,5-a]pyrimidin-5-one</t>
  </si>
  <si>
    <t>2,4-d-butyl</t>
  </si>
  <si>
    <t>2,4-d-dimethylammonium</t>
  </si>
  <si>
    <t>2,4-d-isobutyl</t>
  </si>
  <si>
    <t>2,4-d-sodium</t>
  </si>
  <si>
    <t>2,4-d-sodium+diuron+dsma</t>
  </si>
  <si>
    <t>2,4-d-triisopropanolaminesalt+picloram</t>
  </si>
  <si>
    <t>2,4-dbutylester</t>
  </si>
  <si>
    <t>4-methyl-5-nonanone</t>
  </si>
  <si>
    <t>abamectin</t>
  </si>
  <si>
    <t>abamectin+chlorantraniliprole</t>
  </si>
  <si>
    <t>abamectin+thiamethoxam</t>
  </si>
  <si>
    <t>acephate</t>
  </si>
  <si>
    <t>acetamiprid</t>
  </si>
  <si>
    <t>acetamiprid+abamectin</t>
  </si>
  <si>
    <t>acetamiprid+novaluron</t>
  </si>
  <si>
    <t>acetochlor</t>
  </si>
  <si>
    <t>alachlor</t>
  </si>
  <si>
    <t>albesilate</t>
  </si>
  <si>
    <t>alpha-cypermethrin</t>
  </si>
  <si>
    <t>alpha-naphthylaceticacid</t>
  </si>
  <si>
    <t>aluminiumphosphide</t>
  </si>
  <si>
    <t>aluminumphosphide</t>
  </si>
  <si>
    <t>ametoctradin</t>
  </si>
  <si>
    <t>ametryn</t>
  </si>
  <si>
    <t>ametryn+atrazine</t>
  </si>
  <si>
    <t>amicarbazone</t>
  </si>
  <si>
    <t>aminopyralid</t>
  </si>
  <si>
    <t>aminopyralidpotassium+triclopyrbutoxyethylester</t>
  </si>
  <si>
    <t>amisulbrom</t>
  </si>
  <si>
    <t>amitraz</t>
  </si>
  <si>
    <t>anilofos</t>
  </si>
  <si>
    <t>atrazine</t>
  </si>
  <si>
    <t>atrazine+alachlor</t>
  </si>
  <si>
    <t>atrazine+ametryn</t>
  </si>
  <si>
    <t>atrazine+mesotrione</t>
  </si>
  <si>
    <t>atrazine+mesotrione+s-metolachlor</t>
  </si>
  <si>
    <t>aviglycinehydrochloride</t>
  </si>
  <si>
    <t>azadirachtin</t>
  </si>
  <si>
    <t>azimsulfuron</t>
  </si>
  <si>
    <t>azoxystrobin</t>
  </si>
  <si>
    <t>azoxystrobin+chlorothalonil</t>
  </si>
  <si>
    <t>azoxystrobin+difenoconazole</t>
  </si>
  <si>
    <t>azoxystrobin+isopyrazam</t>
  </si>
  <si>
    <t>azoxystrobin+propiconazole</t>
  </si>
  <si>
    <t>azoxystrobin+tebuconazole</t>
  </si>
  <si>
    <t>bacillusamyloliquefacienscl3</t>
  </si>
  <si>
    <t>bacillussubtilis</t>
  </si>
  <si>
    <t>bacillussubtilisstainmbi600</t>
  </si>
  <si>
    <t>bacillussubtilisstainqst713</t>
  </si>
  <si>
    <t>bacillussubtilisstrainqs713</t>
  </si>
  <si>
    <t>bacillussubtilisstrainqst713</t>
  </si>
  <si>
    <t>bacillusthuringiensis</t>
  </si>
  <si>
    <t>bacillusthuringiensisberlinersubsp.aiza</t>
  </si>
  <si>
    <t>bacillusthuringiensisberlinersubsp.aizawai</t>
  </si>
  <si>
    <t>bacillusthuringiensissubsp.aizawai</t>
  </si>
  <si>
    <t>bacillusthuringiensissubsp.kurstaki</t>
  </si>
  <si>
    <t>bacillusthuringiensisvar.kurstaki</t>
  </si>
  <si>
    <t>bacillusthuringiensisvar.subsp.kurstaki</t>
  </si>
  <si>
    <t>bacillusthuringiensisvar.thuringiensis</t>
  </si>
  <si>
    <t>beauveriabassianastrainppri5339</t>
  </si>
  <si>
    <t>benalaxyl-m+mancozeb</t>
  </si>
  <si>
    <t>benfuracarb</t>
  </si>
  <si>
    <t>benomyl</t>
  </si>
  <si>
    <t>bensulfuron-methyl</t>
  </si>
  <si>
    <t>bensulfuron-methyl+bispyribac-sodium</t>
  </si>
  <si>
    <t>bensulfuron-methyl+quinclorac</t>
  </si>
  <si>
    <t>bentazone</t>
  </si>
  <si>
    <t>bentazonesodium+cyhalofob-butyl</t>
  </si>
  <si>
    <t>beta-cyfluthrin</t>
  </si>
  <si>
    <t>beta-cypermethrin</t>
  </si>
  <si>
    <t>bifenazate</t>
  </si>
  <si>
    <t>bifenthrin</t>
  </si>
  <si>
    <t>bifenthrin+imidacloprid</t>
  </si>
  <si>
    <t>bifenthrin+novaluron</t>
  </si>
  <si>
    <t>bispyribac-sodium+bensulfuron-methyl</t>
  </si>
  <si>
    <t>bispyribac–sodium</t>
  </si>
  <si>
    <t>bisultap</t>
  </si>
  <si>
    <t>bordeauxmixture</t>
  </si>
  <si>
    <t>broflanilide</t>
  </si>
  <si>
    <t>bromacil</t>
  </si>
  <si>
    <t>bromacil+diuron</t>
  </si>
  <si>
    <t>buprofezin</t>
  </si>
  <si>
    <t>buprofezin+isoprocarb</t>
  </si>
  <si>
    <t>butachlor+penoxsulam</t>
  </si>
  <si>
    <t>butralin</t>
  </si>
  <si>
    <t>captan</t>
  </si>
  <si>
    <t>carbaryl</t>
  </si>
  <si>
    <t>carbendazim+kasugamycin</t>
  </si>
  <si>
    <t>carbosulfan</t>
  </si>
  <si>
    <t>carboxin</t>
  </si>
  <si>
    <t>carfentrazone-ethyl</t>
  </si>
  <si>
    <t>cartap</t>
  </si>
  <si>
    <t>cartaphydrochloride</t>
  </si>
  <si>
    <t>cartaphydrochloride+isoprocarb</t>
  </si>
  <si>
    <t>chlorantraniliprole</t>
  </si>
  <si>
    <t>chlorantraniliprole+abamectin</t>
  </si>
  <si>
    <t>chlorantraniliprole+thiamethoxam</t>
  </si>
  <si>
    <t>chlorfenapyr</t>
  </si>
  <si>
    <t>chlorfluazuron</t>
  </si>
  <si>
    <t>chlorimuron-ethyl</t>
  </si>
  <si>
    <t>chlorimuron-ethyl+metsulfuron-methyl</t>
  </si>
  <si>
    <t>chloropicrin+methylbromide</t>
  </si>
  <si>
    <t>chlorothalonil</t>
  </si>
  <si>
    <t>chlorothalonil+azoxystrobin</t>
  </si>
  <si>
    <t>chlorothalonil+metalaxyl-m</t>
  </si>
  <si>
    <t>chlorpropham</t>
  </si>
  <si>
    <t>chlorpyrifos</t>
  </si>
  <si>
    <t>chlorpyrifos+cypermethrin</t>
  </si>
  <si>
    <t>chlorpyrifos+sulfoxaflor</t>
  </si>
  <si>
    <t>chromafenozide</t>
  </si>
  <si>
    <t>cidloethianidin</t>
  </si>
  <si>
    <t>clethodim</t>
  </si>
  <si>
    <t>clodinafop-propargyl</t>
  </si>
  <si>
    <t>clomazone</t>
  </si>
  <si>
    <t>clomazone+pendimethalin</t>
  </si>
  <si>
    <t>clomazone+propanil</t>
  </si>
  <si>
    <t>clothianidin</t>
  </si>
  <si>
    <t>clothianidin+imidacloprid</t>
  </si>
  <si>
    <t>colchicine</t>
  </si>
  <si>
    <t>copperhydroxide</t>
  </si>
  <si>
    <t>copperoxychloride</t>
  </si>
  <si>
    <t>copperoxychloride+copperhydroxide</t>
  </si>
  <si>
    <t>coppersulfate(tribasic)</t>
  </si>
  <si>
    <t>cuprousoxide</t>
  </si>
  <si>
    <t>cyantraniliprole</t>
  </si>
  <si>
    <t>cyantraniliprole+thiamethoxam</t>
  </si>
  <si>
    <t>cyazofamid</t>
  </si>
  <si>
    <t>cyenopyrafen</t>
  </si>
  <si>
    <t>cyflufenamid+tebuconazole</t>
  </si>
  <si>
    <t>cyflumetofen</t>
  </si>
  <si>
    <t>cyhalofop-butyl</t>
  </si>
  <si>
    <t>cyhalofop-butyl+penoxsulam</t>
  </si>
  <si>
    <t>cyhalofop-butyl+pyribenzoxim</t>
  </si>
  <si>
    <t>cyhalofop–butyl</t>
  </si>
  <si>
    <t>cymoxanil+famoxadone</t>
  </si>
  <si>
    <t>cymoxanil+mancozeb</t>
  </si>
  <si>
    <t>cypermethrin</t>
  </si>
  <si>
    <t>cypermethrin+ethion</t>
  </si>
  <si>
    <t>cypermethrin+profenofos</t>
  </si>
  <si>
    <t>cypermethrintech</t>
  </si>
  <si>
    <t>cyproconazole</t>
  </si>
  <si>
    <t>cyproconazole+azoxystrobin</t>
  </si>
  <si>
    <t>cyproconazole+picoxystrobin</t>
  </si>
  <si>
    <t>cyproconazole+propiconazole</t>
  </si>
  <si>
    <t>cyproconzole+picoxystrobin</t>
  </si>
  <si>
    <t>cyprosulfamide</t>
  </si>
  <si>
    <t>cyprosulfamide+isoxaflutole</t>
  </si>
  <si>
    <t>d-limonene</t>
  </si>
  <si>
    <t>dazomet</t>
  </si>
  <si>
    <t>deltamethrin</t>
  </si>
  <si>
    <t>diafenthiuron</t>
  </si>
  <si>
    <t>diazinon</t>
  </si>
  <si>
    <t>dicamba</t>
  </si>
  <si>
    <t>dichlorophen</t>
  </si>
  <si>
    <t>dichlorvos</t>
  </si>
  <si>
    <t>dicloran</t>
  </si>
  <si>
    <t>diclosulam</t>
  </si>
  <si>
    <t>difenoconazole</t>
  </si>
  <si>
    <t>difenoconazole+azoxystrobin</t>
  </si>
  <si>
    <t>difenoconazole+fludioxonil+thiamethoxam</t>
  </si>
  <si>
    <t>difenoconazole+propiconazole</t>
  </si>
  <si>
    <t>difenoconazole+propiconazole+acibenzo</t>
  </si>
  <si>
    <t>diflubenzuron</t>
  </si>
  <si>
    <t>diflufenican</t>
  </si>
  <si>
    <t>dimethenamid-p</t>
  </si>
  <si>
    <t>dimethoate</t>
  </si>
  <si>
    <t>dimethomorph</t>
  </si>
  <si>
    <t>dimethomorph+ametoctradin</t>
  </si>
  <si>
    <t>dimethomorph+fluazinam</t>
  </si>
  <si>
    <t>dimethomorph+mancozeb</t>
  </si>
  <si>
    <t>dimethomorph+prochloraz</t>
  </si>
  <si>
    <t>dimethomorph+pyraclostrobin</t>
  </si>
  <si>
    <t>dinotefuran</t>
  </si>
  <si>
    <t>diquatdibromide</t>
  </si>
  <si>
    <t>diuron</t>
  </si>
  <si>
    <t>diuron+hexazinone</t>
  </si>
  <si>
    <t>dsma+2,4-d-dimethylammonium</t>
  </si>
  <si>
    <t>edifenphos</t>
  </si>
  <si>
    <t>emamectinbenzoate</t>
  </si>
  <si>
    <t>emamectinbenzoate+lufenuron</t>
  </si>
  <si>
    <t>epoxiconazole</t>
  </si>
  <si>
    <t>esfenvalerate</t>
  </si>
  <si>
    <t>ethaboxam</t>
  </si>
  <si>
    <t>ethephon</t>
  </si>
  <si>
    <t>ethion</t>
  </si>
  <si>
    <t>ethiprole</t>
  </si>
  <si>
    <t>ethoxysulfuron</t>
  </si>
  <si>
    <t>ethoxysulfuron+fenoxaprop-p-ethyl</t>
  </si>
  <si>
    <t>ethyl-4-methyloctanoate</t>
  </si>
  <si>
    <t>etofenprox</t>
  </si>
  <si>
    <t>etridiazole</t>
  </si>
  <si>
    <t>etridiazole+quintozene</t>
  </si>
  <si>
    <t>fenamidone</t>
  </si>
  <si>
    <t>fenazaquin</t>
  </si>
  <si>
    <t>fenbuconazole</t>
  </si>
  <si>
    <t>fenbutatinoxide</t>
  </si>
  <si>
    <t>fenclorim</t>
  </si>
  <si>
    <t>fenitrothion</t>
  </si>
  <si>
    <t>fenobucarb</t>
  </si>
  <si>
    <t>fenoxanil</t>
  </si>
  <si>
    <t>fenoxaprop-p-ethyl</t>
  </si>
  <si>
    <t>fenoxaprop-p-ethyl+ethoxysulfuron</t>
  </si>
  <si>
    <t>fenpropathrin</t>
  </si>
  <si>
    <t>fenpyroximate</t>
  </si>
  <si>
    <t>fentrazamide</t>
  </si>
  <si>
    <t>flazasulfuron</t>
  </si>
  <si>
    <t>flocoumafen</t>
  </si>
  <si>
    <t>flometoquin</t>
  </si>
  <si>
    <t>flonicamid</t>
  </si>
  <si>
    <t>fluazifop-p-butyl</t>
  </si>
  <si>
    <t>fluazifop-p-ethyl</t>
  </si>
  <si>
    <t>fluazinam</t>
  </si>
  <si>
    <t>flubendiamide</t>
  </si>
  <si>
    <t>flubendiamide+thiacloprid</t>
  </si>
  <si>
    <t>fludioxonil</t>
  </si>
  <si>
    <t>fludioxonil+metalaxyl-m</t>
  </si>
  <si>
    <t>flumioxazin</t>
  </si>
  <si>
    <t>fluopicolide+fosetyl-aluminium</t>
  </si>
  <si>
    <t>fluopicolide+fosetylaluminium</t>
  </si>
  <si>
    <t>fluopyram</t>
  </si>
  <si>
    <t>fluopyram+tebuconazole</t>
  </si>
  <si>
    <t>fluopyram+trifloxystrobin</t>
  </si>
  <si>
    <t>fluoxapiprolin</t>
  </si>
  <si>
    <t>fluoxastrobin</t>
  </si>
  <si>
    <t>fluoxastrobin+tebuconazole</t>
  </si>
  <si>
    <t>flupyradifuron</t>
  </si>
  <si>
    <t>flupyradifurone</t>
  </si>
  <si>
    <t>fluroxypyr-meptyl</t>
  </si>
  <si>
    <t>flusilazole</t>
  </si>
  <si>
    <t>flutriafol</t>
  </si>
  <si>
    <t>flutriafol+azoxystrobin</t>
  </si>
  <si>
    <t>fluxapyroxad</t>
  </si>
  <si>
    <t>folpet</t>
  </si>
  <si>
    <t>fomesafen</t>
  </si>
  <si>
    <t>formetanate</t>
  </si>
  <si>
    <t>formetanatehydrochloride</t>
  </si>
  <si>
    <t>fosetyl-aluminium</t>
  </si>
  <si>
    <t>fosthiazate</t>
  </si>
  <si>
    <t>gamma-cyhalothrin</t>
  </si>
  <si>
    <t>gentamicinesulfate+oxytetracyclinehydrochloride</t>
  </si>
  <si>
    <t>gentamicinsulfate+oxytetracyclinhydrochloride</t>
  </si>
  <si>
    <t>gibbercllicacid</t>
  </si>
  <si>
    <t>gibberellicacid</t>
  </si>
  <si>
    <t>glufosinate-ammonium</t>
  </si>
  <si>
    <t>glyphosate</t>
  </si>
  <si>
    <t>glyphosate-ammonium</t>
  </si>
  <si>
    <t>glyphosate-isopropylaminesalt</t>
  </si>
  <si>
    <t>glyphosate-isopropylammonium</t>
  </si>
  <si>
    <t>glyphosate-monoammonium</t>
  </si>
  <si>
    <t>glyphosate-potassium</t>
  </si>
  <si>
    <t>glyphosateacid</t>
  </si>
  <si>
    <t>glyphosateammoniumsalt</t>
  </si>
  <si>
    <t>glyphosateisopropylammonium</t>
  </si>
  <si>
    <t>halosulfuron-methyl</t>
  </si>
  <si>
    <t>haloxyfop-p-methyl</t>
  </si>
  <si>
    <t>haloxyfop-r-methyl</t>
  </si>
  <si>
    <t>hexaconazole</t>
  </si>
  <si>
    <t>hexazinone</t>
  </si>
  <si>
    <t>hexythiazox</t>
  </si>
  <si>
    <t>hydrogencyanamide</t>
  </si>
  <si>
    <t>hydrolysedproteins</t>
  </si>
  <si>
    <t>hymexazol</t>
  </si>
  <si>
    <t>imazapic</t>
  </si>
  <si>
    <t>imazapic+imazapyr</t>
  </si>
  <si>
    <t>imazapyr</t>
  </si>
  <si>
    <t>imazethapyr</t>
  </si>
  <si>
    <t>imibenconazole</t>
  </si>
  <si>
    <t>imidacloprid</t>
  </si>
  <si>
    <t>imidacloprid+spirotetramat</t>
  </si>
  <si>
    <t>iminoctadinetris</t>
  </si>
  <si>
    <t>indaziflam</t>
  </si>
  <si>
    <t>indoxacarb</t>
  </si>
  <si>
    <t>indoxacarb+emamectinbenzoate</t>
  </si>
  <si>
    <t>indoxacarb+novaluron</t>
  </si>
  <si>
    <t>ipfencarbazone</t>
  </si>
  <si>
    <t>iprodione</t>
  </si>
  <si>
    <t>iprovalicarb</t>
  </si>
  <si>
    <t>iprovalicarb+propineb</t>
  </si>
  <si>
    <t>isocycloseram</t>
  </si>
  <si>
    <t>isoprocarb</t>
  </si>
  <si>
    <t>isoprothiolane</t>
  </si>
  <si>
    <t>isopyrazam</t>
  </si>
  <si>
    <t>isotianil</t>
  </si>
  <si>
    <t>isoxadifen-ethyl+tembotrione</t>
  </si>
  <si>
    <t>isoxaflutole</t>
  </si>
  <si>
    <t>kasugamycin+carbendazim</t>
  </si>
  <si>
    <t>kasugamycinhydrochloride</t>
  </si>
  <si>
    <t>kasugamycinhydrochloridehydrate</t>
  </si>
  <si>
    <t>kasugamycinhydrochloridehydrate+tricyclazole</t>
  </si>
  <si>
    <t>kresoxim-methyl</t>
  </si>
  <si>
    <t>lambda-cyhalothrin</t>
  </si>
  <si>
    <t>lambda-cyhalothrin+imidacloprid</t>
  </si>
  <si>
    <t>lambda-cyhalothrin+thiamethoxam</t>
  </si>
  <si>
    <t>lambdacyhalothrin</t>
  </si>
  <si>
    <t>lambdacyhalothrin+imidacloprid</t>
  </si>
  <si>
    <t>lufenuron</t>
  </si>
  <si>
    <t>lufenuron+emamectinbenzoate</t>
  </si>
  <si>
    <t>magnesiumphosphide</t>
  </si>
  <si>
    <t>malathion</t>
  </si>
  <si>
    <t>mancozeb</t>
  </si>
  <si>
    <t>mancozeb+carbendazim</t>
  </si>
  <si>
    <t>mancozeb+mandipropamid</t>
  </si>
  <si>
    <t>mancozeb+metalaxyl-m</t>
  </si>
  <si>
    <t>mancozeb+tricyclazole</t>
  </si>
  <si>
    <t>mancozeb+valifenalate</t>
  </si>
  <si>
    <t>mandipropamid</t>
  </si>
  <si>
    <t>matrine</t>
  </si>
  <si>
    <t>mcpa</t>
  </si>
  <si>
    <t>mepiquatchloride</t>
  </si>
  <si>
    <t>mesotrione</t>
  </si>
  <si>
    <t>mesotrione+atrazine</t>
  </si>
  <si>
    <t>mesotrione+atrazine+s-metolachlor</t>
  </si>
  <si>
    <t>metalaxyl</t>
  </si>
  <si>
    <t>metalaxyl-m</t>
  </si>
  <si>
    <t>mancozeb+metalaxyl</t>
  </si>
  <si>
    <t>metaldehyde</t>
  </si>
  <si>
    <t>metamifop</t>
  </si>
  <si>
    <t>metazosulfuron</t>
  </si>
  <si>
    <t>methomyl</t>
  </si>
  <si>
    <t>methoxyfenozide</t>
  </si>
  <si>
    <t>methoxyfenozide+spinetoram</t>
  </si>
  <si>
    <t>methylbromide</t>
  </si>
  <si>
    <t>methylbromide+chloropicrin</t>
  </si>
  <si>
    <t>methyleugenol</t>
  </si>
  <si>
    <t>metiram</t>
  </si>
  <si>
    <t>metolachlor</t>
  </si>
  <si>
    <t>metominostrobin</t>
  </si>
  <si>
    <t>metribuzin</t>
  </si>
  <si>
    <t>metribuzin+indaziflam</t>
  </si>
  <si>
    <t>metsulfuron-methyl</t>
  </si>
  <si>
    <t>msma</t>
  </si>
  <si>
    <t>myclobutanil</t>
  </si>
  <si>
    <t>niclosamide-olamine</t>
  </si>
  <si>
    <t>niclosamideethanolamine</t>
  </si>
  <si>
    <t>nicosulfuron</t>
  </si>
  <si>
    <t>novaluron</t>
  </si>
  <si>
    <t>novaluron+bifenthrin</t>
  </si>
  <si>
    <t>novaluron+indoxacarb</t>
  </si>
  <si>
    <t>omethoate</t>
  </si>
  <si>
    <t>oxadiargyl</t>
  </si>
  <si>
    <t>oxadiazon</t>
  </si>
  <si>
    <t>oxathiapiprolin</t>
  </si>
  <si>
    <t>oxaziclomefone</t>
  </si>
  <si>
    <t>oxinecopper</t>
  </si>
  <si>
    <t>oxyfluorfen</t>
  </si>
  <si>
    <t>paclobutrazol</t>
  </si>
  <si>
    <t>paraquatdichloride</t>
  </si>
  <si>
    <t>pencycuron</t>
  </si>
  <si>
    <t>penoxsulam</t>
  </si>
  <si>
    <t>penoxsulam+pendimethalin</t>
  </si>
  <si>
    <t>penoxsulam+triclopyrester</t>
  </si>
  <si>
    <t>penthiopyrad</t>
  </si>
  <si>
    <t>permethrin</t>
  </si>
  <si>
    <t>petroleumoil</t>
  </si>
  <si>
    <t>phenthoate</t>
  </si>
  <si>
    <t>phosmet</t>
  </si>
  <si>
    <t>phosphine</t>
  </si>
  <si>
    <t>phosphonicacid</t>
  </si>
  <si>
    <t>picoxystrobin</t>
  </si>
  <si>
    <t>piperonylbutoxide</t>
  </si>
  <si>
    <t>pirimiphos-methyl</t>
  </si>
  <si>
    <t>pretilachlor+pyribenzoxim</t>
  </si>
  <si>
    <t>prochloraz</t>
  </si>
  <si>
    <t>prochloraz+propiconazole</t>
  </si>
  <si>
    <t>procymidone</t>
  </si>
  <si>
    <t>profenofos</t>
  </si>
  <si>
    <t>profenofos+lufenuron</t>
  </si>
  <si>
    <t>propamocarbhydrochloride</t>
  </si>
  <si>
    <t>propamocarbhydrochloride+fluopicolide</t>
  </si>
  <si>
    <t>propamocarbhydrochloride+metalaxyl</t>
  </si>
  <si>
    <t>propanil</t>
  </si>
  <si>
    <t>propaquizafop</t>
  </si>
  <si>
    <t>propargite</t>
  </si>
  <si>
    <t>propiconazole</t>
  </si>
  <si>
    <t>propiconazole+azoxystrobin</t>
  </si>
  <si>
    <t>propineb</t>
  </si>
  <si>
    <t>propineb+fluopicolide</t>
  </si>
  <si>
    <t>propineb+trifloxystrobin</t>
  </si>
  <si>
    <t>propoxur</t>
  </si>
  <si>
    <t>prothiofos</t>
  </si>
  <si>
    <t>pyflubumide</t>
  </si>
  <si>
    <t>pymetrozine</t>
  </si>
  <si>
    <t>pyraclonil</t>
  </si>
  <si>
    <t>pyraclostrobin</t>
  </si>
  <si>
    <t>pyraclostrobin+epoxiconazole</t>
  </si>
  <si>
    <t>pyraclostrobin+fluxapyroxad</t>
  </si>
  <si>
    <t>pyraclostrobin+metiram</t>
  </si>
  <si>
    <t>pyraflufen-ethyl</t>
  </si>
  <si>
    <t>pyrazosulfuron-ethyl</t>
  </si>
  <si>
    <t>pyrazosulfuron-ethyl+quinclorac</t>
  </si>
  <si>
    <t>pyribenzoxim</t>
  </si>
  <si>
    <t>pyridaben</t>
  </si>
  <si>
    <t>pyridalyl</t>
  </si>
  <si>
    <t>pyriproxyfen</t>
  </si>
  <si>
    <t>pyroxasulfone</t>
  </si>
  <si>
    <t>quinclorac</t>
  </si>
  <si>
    <t>quinclorac+bensulfuron-methyl</t>
  </si>
  <si>
    <t>quinclorac+pyrazosulfuron-ethyl</t>
  </si>
  <si>
    <t>quintozene+etridiazole</t>
  </si>
  <si>
    <t>quizalofop-p-ethyl</t>
  </si>
  <si>
    <t>quizalofop-p-tefuryl</t>
  </si>
  <si>
    <t>s-metholachlor</t>
  </si>
  <si>
    <t>s-metolachlor</t>
  </si>
  <si>
    <t>saflufenacil</t>
  </si>
  <si>
    <t>sodium-5-nitroguaiacolate+sodiumpara-nitrophenolate+sodiumortho-nitrophenolate</t>
  </si>
  <si>
    <t>sodiumortho-nitrophenolate</t>
  </si>
  <si>
    <t>spinetoram</t>
  </si>
  <si>
    <t>spinosad</t>
  </si>
  <si>
    <t>spirodiclofen</t>
  </si>
  <si>
    <t>spiromesifen</t>
  </si>
  <si>
    <t>spiropidion</t>
  </si>
  <si>
    <t>spirotetramat</t>
  </si>
  <si>
    <t>spirotetramat+imidacloprid</t>
  </si>
  <si>
    <t>sulfentrazone</t>
  </si>
  <si>
    <t>sulfoxaflor</t>
  </si>
  <si>
    <t>sulfur</t>
  </si>
  <si>
    <t>sulfurylfluoride</t>
  </si>
  <si>
    <t>tebuconazole</t>
  </si>
  <si>
    <t>tebuconazole+azoxystrobin</t>
  </si>
  <si>
    <t>tebuconazole+fluopyram</t>
  </si>
  <si>
    <t>tebuconazole+fluoxastrobin</t>
  </si>
  <si>
    <t>tebuconazole+prochloraz+azoxystrobin</t>
  </si>
  <si>
    <t>tebuconazole+trifloxystrobin</t>
  </si>
  <si>
    <t>tebufenpyrad</t>
  </si>
  <si>
    <t>tembotrione</t>
  </si>
  <si>
    <t>tembotrione+isoxadifen-ethyl</t>
  </si>
  <si>
    <t>tetraconazole</t>
  </si>
  <si>
    <t>tetraniliprole</t>
  </si>
  <si>
    <t>thiabendazole</t>
  </si>
  <si>
    <t>thiabendazole+fludioxonil+metalaxyl-m</t>
  </si>
  <si>
    <t>thiacloprid</t>
  </si>
  <si>
    <t>thiacloprid+flubendiamide</t>
  </si>
  <si>
    <t>thiamethoxam</t>
  </si>
  <si>
    <t>thiamethoxam+abamectin</t>
  </si>
  <si>
    <t>thiamethoxam+lambda-cyhalothrin</t>
  </si>
  <si>
    <t>thiencarbazone-methyl</t>
  </si>
  <si>
    <t>thiobencarb</t>
  </si>
  <si>
    <t>thiodicarb</t>
  </si>
  <si>
    <t>thiophanate-methyl</t>
  </si>
  <si>
    <t>thiophanate-methyl+mancozeb</t>
  </si>
  <si>
    <t>thiram</t>
  </si>
  <si>
    <t>tolclofos-methyl</t>
  </si>
  <si>
    <t>tolfenpyrad</t>
  </si>
  <si>
    <t>topramezone</t>
  </si>
  <si>
    <t>triafamone</t>
  </si>
  <si>
    <t>triazophos</t>
  </si>
  <si>
    <t>triclopyrbutoxyethylester</t>
  </si>
  <si>
    <t>triclopyrbutoxyethylester+aminopyralidpotassium</t>
  </si>
  <si>
    <t>tricyclazole</t>
  </si>
  <si>
    <t>tricyclazole+azoxystrobin</t>
  </si>
  <si>
    <t>tricyclazole+propiconazole</t>
  </si>
  <si>
    <t>trifloxystrobin</t>
  </si>
  <si>
    <t>trifloxystrobin+fluopyram</t>
  </si>
  <si>
    <t>trifloxystrobin+tebuconazole</t>
  </si>
  <si>
    <t>trifloxysulfuron-sodium</t>
  </si>
  <si>
    <t>triflumuron</t>
  </si>
  <si>
    <t>trifluralin</t>
  </si>
  <si>
    <t>triforine</t>
  </si>
  <si>
    <t>trinexapac-ethyl</t>
  </si>
  <si>
    <t>trinexapacethyl</t>
  </si>
  <si>
    <t>validamycin</t>
  </si>
  <si>
    <t>whiteoil</t>
  </si>
  <si>
    <t>xde-848(Florpyrauxifen-benzyl)</t>
  </si>
  <si>
    <t>zincphosphide</t>
  </si>
  <si>
    <t>zincthiazole</t>
  </si>
  <si>
    <t>zineb</t>
  </si>
  <si>
    <t>zinethiazole</t>
  </si>
  <si>
    <t>ziram</t>
  </si>
  <si>
    <t>concentration</t>
  </si>
  <si>
    <t>formulation_type</t>
  </si>
  <si>
    <t>trade_name</t>
  </si>
  <si>
    <t>company</t>
  </si>
  <si>
    <t>เซนเที่ยม</t>
  </si>
  <si>
    <t>SHK</t>
  </si>
  <si>
    <t>12%+27%W/V</t>
  </si>
  <si>
    <t>EC</t>
  </si>
  <si>
    <t>13+5</t>
  </si>
  <si>
    <t>72%W/V</t>
  </si>
  <si>
    <t>frontier-p</t>
  </si>
  <si>
    <t>48%W/V</t>
  </si>
  <si>
    <t>bramus</t>
  </si>
  <si>
    <t>คิวเทอร์</t>
  </si>
  <si>
    <t>โดรนพลัส</t>
  </si>
  <si>
    <t>ออสเรียม</t>
  </si>
  <si>
    <t>imidacloprid+lambda-cyhalothrin</t>
  </si>
  <si>
    <t>16%+12%W/V</t>
  </si>
  <si>
    <t>SC</t>
  </si>
  <si>
    <t>4A+3A</t>
  </si>
  <si>
    <t>50%+5%W/V</t>
  </si>
  <si>
    <t>1B+15</t>
  </si>
  <si>
    <t>emamectin benzoate+lufenuron</t>
  </si>
  <si>
    <t>10%+40%</t>
  </si>
  <si>
    <t>WG</t>
  </si>
  <si>
    <t>6+15</t>
  </si>
  <si>
    <t>เทรนนิว</t>
  </si>
  <si>
    <t>25%W/V</t>
  </si>
  <si>
    <t>C11</t>
  </si>
  <si>
    <t>ทานชิ</t>
  </si>
  <si>
    <t>50%W/V</t>
  </si>
  <si>
    <t>B1</t>
  </si>
  <si>
    <t>ไตร-เบส บลู</t>
  </si>
  <si>
    <t xml:space="preserve">copper sulfate </t>
  </si>
  <si>
    <t>34.5%W/V</t>
  </si>
  <si>
    <t>แบคทรอล</t>
  </si>
  <si>
    <t>gentamicin sulfate+oxytetracyclin hydrochloride</t>
  </si>
  <si>
    <t>2%+6%</t>
  </si>
  <si>
    <t>WP</t>
  </si>
  <si>
    <t>C1+CD5</t>
  </si>
  <si>
    <t>stage_id</t>
  </si>
  <si>
    <t>fs001</t>
  </si>
  <si>
    <t>fs002</t>
  </si>
  <si>
    <t>fs003</t>
  </si>
  <si>
    <t xml:space="preserve">2nd application </t>
  </si>
  <si>
    <t xml:space="preserve">3rd application </t>
  </si>
  <si>
    <t>crop</t>
  </si>
  <si>
    <t>rank</t>
  </si>
  <si>
    <t>her001</t>
  </si>
  <si>
    <t>her002</t>
  </si>
  <si>
    <t>her003</t>
  </si>
  <si>
    <t>premium</t>
  </si>
  <si>
    <t>generic</t>
  </si>
  <si>
    <t>mid-tier</t>
  </si>
  <si>
    <t>product tier</t>
  </si>
  <si>
    <t>tier</t>
  </si>
  <si>
    <t>ins001</t>
  </si>
  <si>
    <t>ins002</t>
  </si>
  <si>
    <t>ins003</t>
  </si>
  <si>
    <t>fun001</t>
  </si>
  <si>
    <t>fun002</t>
  </si>
  <si>
    <t>fun003</t>
  </si>
  <si>
    <t>fun004</t>
  </si>
  <si>
    <t>her_id</t>
  </si>
  <si>
    <t>ins_id</t>
  </si>
  <si>
    <t>fun_id</t>
  </si>
  <si>
    <t>fer_id</t>
  </si>
  <si>
    <t>fer001</t>
  </si>
  <si>
    <t>fer002</t>
  </si>
  <si>
    <t>fer003</t>
  </si>
  <si>
    <t>fer004</t>
  </si>
  <si>
    <t>fer005</t>
  </si>
  <si>
    <t>fer006</t>
  </si>
  <si>
    <t>fer007</t>
  </si>
  <si>
    <t>fer008</t>
  </si>
  <si>
    <t>fer009</t>
  </si>
  <si>
    <t>fer010</t>
  </si>
  <si>
    <t>fer011</t>
  </si>
  <si>
    <t>fer012</t>
  </si>
  <si>
    <t>fer013</t>
  </si>
  <si>
    <t>fer014</t>
  </si>
  <si>
    <t>fer015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</si>
</sst>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F3A6-442D-424C-AB27-8C298D5989C1}">
  <sheetPr filterMode="1"/>
  <dimension ref="A1:F38"/>
  <sheetViews>
    <sheetView zoomScale="120" zoomScaleNormal="120" workbookViewId="0">
      <selection activeCell="A2" sqref="A2"/>
    </sheetView>
  </sheetViews>
  <sheetFormatPr baseColWidth="10" defaultRowHeight="16" x14ac:dyDescent="0.2"/>
  <cols>
    <col min="2" max="2" width="23.33203125" customWidth="1"/>
    <col min="3" max="3" width="35.1640625" customWidth="1"/>
    <col min="4" max="4" width="36.33203125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39</v>
      </c>
      <c r="E1" t="s">
        <v>4</v>
      </c>
      <c r="F1" t="s">
        <v>5</v>
      </c>
    </row>
    <row r="2" spans="1:6" x14ac:dyDescent="0.2">
      <c r="A2" t="s">
        <v>2</v>
      </c>
      <c r="B2" t="s">
        <v>38</v>
      </c>
      <c r="C2" t="s">
        <v>174</v>
      </c>
      <c r="D2" t="s">
        <v>175</v>
      </c>
      <c r="E2">
        <v>0</v>
      </c>
      <c r="F2">
        <v>25</v>
      </c>
    </row>
    <row r="3" spans="1:6" x14ac:dyDescent="0.2">
      <c r="A3" t="s">
        <v>2</v>
      </c>
      <c r="B3" t="s">
        <v>38</v>
      </c>
      <c r="C3" t="s">
        <v>176</v>
      </c>
      <c r="D3" t="s">
        <v>177</v>
      </c>
      <c r="E3">
        <v>26</v>
      </c>
      <c r="F3">
        <v>60</v>
      </c>
    </row>
    <row r="4" spans="1:6" x14ac:dyDescent="0.2">
      <c r="A4" t="s">
        <v>2</v>
      </c>
      <c r="B4" t="s">
        <v>38</v>
      </c>
      <c r="C4" t="s">
        <v>264</v>
      </c>
      <c r="D4" t="s">
        <v>269</v>
      </c>
      <c r="E4">
        <v>61</v>
      </c>
      <c r="F4">
        <v>90</v>
      </c>
    </row>
    <row r="5" spans="1:6" x14ac:dyDescent="0.2">
      <c r="A5" t="s">
        <v>2</v>
      </c>
      <c r="B5" t="s">
        <v>38</v>
      </c>
      <c r="C5" t="s">
        <v>180</v>
      </c>
      <c r="D5" t="s">
        <v>265</v>
      </c>
      <c r="E5">
        <v>91</v>
      </c>
      <c r="F5">
        <v>120</v>
      </c>
    </row>
    <row r="11" spans="1:6" hidden="1" x14ac:dyDescent="0.2">
      <c r="A11" t="s">
        <v>194</v>
      </c>
      <c r="B11" t="s">
        <v>195</v>
      </c>
      <c r="C11" t="s">
        <v>174</v>
      </c>
      <c r="D11" t="s">
        <v>175</v>
      </c>
      <c r="E11">
        <v>0</v>
      </c>
      <c r="F11">
        <v>17</v>
      </c>
    </row>
    <row r="12" spans="1:6" hidden="1" x14ac:dyDescent="0.2">
      <c r="A12" t="s">
        <v>194</v>
      </c>
      <c r="B12" t="s">
        <v>195</v>
      </c>
      <c r="C12" t="s">
        <v>176</v>
      </c>
      <c r="D12" t="s">
        <v>177</v>
      </c>
      <c r="E12">
        <v>18</v>
      </c>
      <c r="F12">
        <v>38</v>
      </c>
    </row>
    <row r="13" spans="1:6" hidden="1" x14ac:dyDescent="0.2">
      <c r="A13" t="s">
        <v>194</v>
      </c>
      <c r="B13" t="s">
        <v>195</v>
      </c>
      <c r="C13" t="s">
        <v>178</v>
      </c>
      <c r="D13" t="s">
        <v>179</v>
      </c>
      <c r="E13">
        <v>39</v>
      </c>
      <c r="F13">
        <v>50</v>
      </c>
    </row>
    <row r="14" spans="1:6" hidden="1" x14ac:dyDescent="0.2">
      <c r="A14" t="s">
        <v>194</v>
      </c>
      <c r="B14" t="s">
        <v>195</v>
      </c>
      <c r="C14" t="s">
        <v>180</v>
      </c>
      <c r="D14" t="s">
        <v>181</v>
      </c>
      <c r="E14">
        <v>51</v>
      </c>
      <c r="F14">
        <v>63</v>
      </c>
    </row>
    <row r="15" spans="1:6" hidden="1" x14ac:dyDescent="0.2">
      <c r="A15" t="s">
        <v>194</v>
      </c>
      <c r="B15" t="s">
        <v>195</v>
      </c>
      <c r="C15" t="s">
        <v>182</v>
      </c>
      <c r="D15" t="s">
        <v>183</v>
      </c>
      <c r="E15">
        <v>64</v>
      </c>
      <c r="F15">
        <v>71</v>
      </c>
    </row>
    <row r="16" spans="1:6" hidden="1" x14ac:dyDescent="0.2">
      <c r="A16" t="s">
        <v>194</v>
      </c>
      <c r="B16" t="s">
        <v>195</v>
      </c>
      <c r="C16" t="s">
        <v>184</v>
      </c>
      <c r="D16" t="s">
        <v>185</v>
      </c>
      <c r="E16">
        <v>72</v>
      </c>
      <c r="F16">
        <v>75</v>
      </c>
    </row>
    <row r="17" spans="1:6" hidden="1" x14ac:dyDescent="0.2">
      <c r="A17" t="s">
        <v>194</v>
      </c>
      <c r="B17" t="s">
        <v>195</v>
      </c>
      <c r="C17" t="s">
        <v>186</v>
      </c>
      <c r="D17" t="s">
        <v>187</v>
      </c>
      <c r="E17">
        <v>76</v>
      </c>
      <c r="F17">
        <v>88</v>
      </c>
    </row>
    <row r="18" spans="1:6" hidden="1" x14ac:dyDescent="0.2">
      <c r="A18" t="s">
        <v>194</v>
      </c>
      <c r="B18" t="s">
        <v>195</v>
      </c>
      <c r="C18" t="s">
        <v>188</v>
      </c>
      <c r="D18" t="s">
        <v>189</v>
      </c>
      <c r="E18">
        <v>89</v>
      </c>
      <c r="F18">
        <v>96</v>
      </c>
    </row>
    <row r="19" spans="1:6" hidden="1" x14ac:dyDescent="0.2">
      <c r="A19" t="s">
        <v>194</v>
      </c>
      <c r="B19" t="s">
        <v>195</v>
      </c>
      <c r="C19" t="s">
        <v>190</v>
      </c>
      <c r="D19" t="s">
        <v>191</v>
      </c>
      <c r="E19">
        <v>97</v>
      </c>
      <c r="F19">
        <v>100</v>
      </c>
    </row>
    <row r="20" spans="1:6" hidden="1" x14ac:dyDescent="0.2">
      <c r="A20" t="s">
        <v>196</v>
      </c>
      <c r="B20" t="s">
        <v>197</v>
      </c>
      <c r="C20" t="s">
        <v>198</v>
      </c>
      <c r="D20" t="s">
        <v>199</v>
      </c>
      <c r="E20">
        <v>0</v>
      </c>
      <c r="F20">
        <v>30</v>
      </c>
    </row>
    <row r="21" spans="1:6" hidden="1" x14ac:dyDescent="0.2">
      <c r="A21" t="s">
        <v>196</v>
      </c>
      <c r="B21" t="s">
        <v>197</v>
      </c>
      <c r="C21" t="s">
        <v>200</v>
      </c>
      <c r="D21" t="s">
        <v>201</v>
      </c>
      <c r="E21">
        <v>31</v>
      </c>
      <c r="F21">
        <v>90</v>
      </c>
    </row>
    <row r="22" spans="1:6" hidden="1" x14ac:dyDescent="0.2">
      <c r="A22" t="s">
        <v>196</v>
      </c>
      <c r="B22" t="s">
        <v>197</v>
      </c>
      <c r="C22" t="s">
        <v>202</v>
      </c>
      <c r="D22" t="s">
        <v>203</v>
      </c>
      <c r="E22">
        <v>91</v>
      </c>
      <c r="F22">
        <v>365</v>
      </c>
    </row>
    <row r="23" spans="1:6" hidden="1" x14ac:dyDescent="0.2">
      <c r="A23" t="s">
        <v>196</v>
      </c>
      <c r="B23" t="s">
        <v>197</v>
      </c>
      <c r="C23" t="s">
        <v>204</v>
      </c>
      <c r="D23" t="s">
        <v>205</v>
      </c>
      <c r="E23">
        <v>366</v>
      </c>
      <c r="F23">
        <v>540</v>
      </c>
    </row>
    <row r="24" spans="1:6" hidden="1" x14ac:dyDescent="0.2">
      <c r="A24" t="s">
        <v>196</v>
      </c>
      <c r="B24" t="s">
        <v>197</v>
      </c>
      <c r="C24" t="s">
        <v>206</v>
      </c>
      <c r="D24" t="s">
        <v>207</v>
      </c>
      <c r="E24">
        <v>541</v>
      </c>
      <c r="F24">
        <v>730</v>
      </c>
    </row>
    <row r="25" spans="1:6" hidden="1" x14ac:dyDescent="0.2">
      <c r="A25" t="s">
        <v>196</v>
      </c>
      <c r="B25" t="s">
        <v>197</v>
      </c>
      <c r="C25" t="s">
        <v>208</v>
      </c>
      <c r="D25" t="s">
        <v>209</v>
      </c>
      <c r="E25">
        <v>731</v>
      </c>
      <c r="F25">
        <v>1095</v>
      </c>
    </row>
    <row r="26" spans="1:6" hidden="1" x14ac:dyDescent="0.2">
      <c r="A26" t="s">
        <v>196</v>
      </c>
      <c r="B26" t="s">
        <v>197</v>
      </c>
      <c r="C26" t="s">
        <v>210</v>
      </c>
      <c r="D26" t="s">
        <v>211</v>
      </c>
      <c r="E26">
        <v>1096</v>
      </c>
      <c r="F26">
        <v>1460</v>
      </c>
    </row>
    <row r="27" spans="1:6" hidden="1" x14ac:dyDescent="0.2">
      <c r="A27" t="s">
        <v>212</v>
      </c>
      <c r="B27" t="s">
        <v>213</v>
      </c>
      <c r="C27" t="s">
        <v>214</v>
      </c>
      <c r="D27" t="s">
        <v>215</v>
      </c>
      <c r="E27">
        <v>0</v>
      </c>
      <c r="F27">
        <v>30</v>
      </c>
    </row>
    <row r="28" spans="1:6" hidden="1" x14ac:dyDescent="0.2">
      <c r="A28" t="s">
        <v>212</v>
      </c>
      <c r="B28" t="s">
        <v>213</v>
      </c>
      <c r="C28" t="s">
        <v>216</v>
      </c>
      <c r="D28" t="s">
        <v>217</v>
      </c>
      <c r="E28">
        <v>31</v>
      </c>
      <c r="F28">
        <v>75</v>
      </c>
    </row>
    <row r="29" spans="1:6" hidden="1" x14ac:dyDescent="0.2">
      <c r="A29" t="s">
        <v>212</v>
      </c>
      <c r="B29" t="s">
        <v>213</v>
      </c>
      <c r="C29" t="s">
        <v>218</v>
      </c>
      <c r="D29" t="s">
        <v>219</v>
      </c>
      <c r="E29">
        <v>76</v>
      </c>
      <c r="F29">
        <v>120</v>
      </c>
    </row>
    <row r="30" spans="1:6" hidden="1" x14ac:dyDescent="0.2">
      <c r="A30" t="s">
        <v>212</v>
      </c>
      <c r="B30" t="s">
        <v>213</v>
      </c>
      <c r="C30" t="s">
        <v>220</v>
      </c>
      <c r="D30" t="s">
        <v>221</v>
      </c>
      <c r="E30">
        <v>121</v>
      </c>
      <c r="F30">
        <v>165</v>
      </c>
    </row>
    <row r="31" spans="1:6" hidden="1" x14ac:dyDescent="0.2">
      <c r="A31" t="s">
        <v>212</v>
      </c>
      <c r="B31" t="s">
        <v>213</v>
      </c>
      <c r="C31" t="s">
        <v>222</v>
      </c>
      <c r="D31" t="s">
        <v>223</v>
      </c>
      <c r="E31">
        <v>166</v>
      </c>
      <c r="F31">
        <v>210</v>
      </c>
    </row>
    <row r="32" spans="1:6" hidden="1" x14ac:dyDescent="0.2">
      <c r="A32" t="s">
        <v>212</v>
      </c>
      <c r="B32" t="s">
        <v>213</v>
      </c>
      <c r="C32" t="s">
        <v>224</v>
      </c>
      <c r="D32" t="s">
        <v>225</v>
      </c>
      <c r="E32">
        <v>211</v>
      </c>
      <c r="F32">
        <v>240</v>
      </c>
    </row>
    <row r="33" spans="1:6" hidden="1" x14ac:dyDescent="0.2">
      <c r="A33" t="s">
        <v>212</v>
      </c>
      <c r="B33" t="s">
        <v>213</v>
      </c>
      <c r="C33" t="s">
        <v>226</v>
      </c>
      <c r="D33" t="s">
        <v>185</v>
      </c>
      <c r="E33">
        <v>241</v>
      </c>
      <c r="F33">
        <v>265</v>
      </c>
    </row>
    <row r="34" spans="1:6" hidden="1" x14ac:dyDescent="0.2">
      <c r="A34" t="s">
        <v>212</v>
      </c>
      <c r="B34" t="s">
        <v>213</v>
      </c>
      <c r="C34" t="s">
        <v>227</v>
      </c>
      <c r="D34" t="s">
        <v>228</v>
      </c>
      <c r="E34">
        <v>266</v>
      </c>
      <c r="F34">
        <v>300</v>
      </c>
    </row>
    <row r="35" spans="1:6" hidden="1" x14ac:dyDescent="0.2">
      <c r="A35" t="s">
        <v>212</v>
      </c>
      <c r="B35" t="s">
        <v>213</v>
      </c>
      <c r="C35" t="s">
        <v>229</v>
      </c>
      <c r="D35" t="s">
        <v>230</v>
      </c>
      <c r="E35">
        <v>301</v>
      </c>
      <c r="F35">
        <v>350</v>
      </c>
    </row>
    <row r="36" spans="1:6" hidden="1" x14ac:dyDescent="0.2">
      <c r="A36" t="s">
        <v>212</v>
      </c>
      <c r="B36" t="s">
        <v>213</v>
      </c>
      <c r="C36" t="s">
        <v>231</v>
      </c>
      <c r="D36" t="s">
        <v>232</v>
      </c>
      <c r="E36">
        <v>351</v>
      </c>
      <c r="F36">
        <v>390</v>
      </c>
    </row>
    <row r="37" spans="1:6" hidden="1" x14ac:dyDescent="0.2">
      <c r="A37" t="s">
        <v>212</v>
      </c>
      <c r="B37" t="s">
        <v>213</v>
      </c>
      <c r="C37" t="s">
        <v>233</v>
      </c>
      <c r="D37" t="s">
        <v>234</v>
      </c>
      <c r="E37">
        <v>391</v>
      </c>
      <c r="F37">
        <v>420</v>
      </c>
    </row>
    <row r="38" spans="1:6" hidden="1" x14ac:dyDescent="0.2">
      <c r="A38" t="s">
        <v>212</v>
      </c>
      <c r="B38" t="s">
        <v>213</v>
      </c>
      <c r="C38" t="s">
        <v>235</v>
      </c>
      <c r="D38" t="s">
        <v>236</v>
      </c>
      <c r="E38">
        <v>421</v>
      </c>
      <c r="F38">
        <v>435</v>
      </c>
    </row>
  </sheetData>
  <autoFilter ref="A1:F38" xr:uid="{5B91F3A6-442D-424C-AB27-8C298D5989C1}">
    <filterColumn colId="1">
      <filters>
        <filter val="rice(120 days)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8924-44E5-AD4B-87B5-2CDA623494C9}">
  <dimension ref="A1:J34"/>
  <sheetViews>
    <sheetView zoomScale="110" zoomScaleNormal="110" workbookViewId="0">
      <selection activeCell="I12" sqref="I12"/>
    </sheetView>
  </sheetViews>
  <sheetFormatPr baseColWidth="10" defaultRowHeight="16" x14ac:dyDescent="0.2"/>
  <cols>
    <col min="3" max="3" width="17.6640625" customWidth="1"/>
    <col min="5" max="5" width="21.5" customWidth="1"/>
    <col min="6" max="6" width="24.1640625" customWidth="1"/>
    <col min="7" max="8" width="25.1640625" customWidth="1"/>
    <col min="12" max="12" width="17.1640625" bestFit="1" customWidth="1"/>
  </cols>
  <sheetData>
    <row r="1" spans="1:10" x14ac:dyDescent="0.2">
      <c r="A1" t="s">
        <v>0</v>
      </c>
      <c r="B1" t="s">
        <v>274</v>
      </c>
      <c r="C1" t="s">
        <v>270</v>
      </c>
      <c r="D1" t="s">
        <v>9</v>
      </c>
      <c r="E1" t="s">
        <v>10</v>
      </c>
      <c r="F1" t="s">
        <v>11</v>
      </c>
      <c r="G1" t="s">
        <v>53</v>
      </c>
      <c r="H1" t="s">
        <v>26</v>
      </c>
      <c r="I1" t="s">
        <v>4</v>
      </c>
      <c r="J1" t="s">
        <v>5</v>
      </c>
    </row>
    <row r="2" spans="1:10" x14ac:dyDescent="0.2">
      <c r="A2" t="s">
        <v>2</v>
      </c>
      <c r="B2" t="s">
        <v>271</v>
      </c>
      <c r="C2" t="s">
        <v>266</v>
      </c>
      <c r="D2" t="s">
        <v>12</v>
      </c>
      <c r="E2" t="s">
        <v>70</v>
      </c>
      <c r="F2" t="s">
        <v>52</v>
      </c>
      <c r="G2" t="s">
        <v>58</v>
      </c>
      <c r="H2" t="s">
        <v>55</v>
      </c>
      <c r="I2">
        <v>0</v>
      </c>
      <c r="J2">
        <v>2</v>
      </c>
    </row>
    <row r="3" spans="1:10" x14ac:dyDescent="0.2">
      <c r="A3" t="s">
        <v>2</v>
      </c>
      <c r="B3" t="s">
        <v>271</v>
      </c>
      <c r="C3" t="s">
        <v>266</v>
      </c>
      <c r="D3" t="s">
        <v>13</v>
      </c>
      <c r="E3" t="s">
        <v>56</v>
      </c>
      <c r="F3" t="s">
        <v>54</v>
      </c>
      <c r="G3" t="s">
        <v>57</v>
      </c>
      <c r="H3" t="s">
        <v>55</v>
      </c>
      <c r="I3">
        <v>0</v>
      </c>
      <c r="J3">
        <v>2</v>
      </c>
    </row>
    <row r="4" spans="1:10" x14ac:dyDescent="0.2">
      <c r="A4" t="s">
        <v>2</v>
      </c>
      <c r="B4" t="s">
        <v>271</v>
      </c>
      <c r="C4" t="s">
        <v>266</v>
      </c>
      <c r="D4" t="s">
        <v>14</v>
      </c>
      <c r="E4" t="s">
        <v>61</v>
      </c>
      <c r="F4" t="s">
        <v>59</v>
      </c>
      <c r="G4" t="s">
        <v>60</v>
      </c>
      <c r="H4" t="s">
        <v>55</v>
      </c>
      <c r="I4">
        <v>0</v>
      </c>
      <c r="J4">
        <v>2</v>
      </c>
    </row>
    <row r="5" spans="1:10" x14ac:dyDescent="0.2">
      <c r="A5" t="s">
        <v>2</v>
      </c>
      <c r="B5" t="s">
        <v>271</v>
      </c>
      <c r="C5" t="s">
        <v>266</v>
      </c>
      <c r="D5" t="s">
        <v>15</v>
      </c>
      <c r="E5" t="s">
        <v>62</v>
      </c>
      <c r="F5" t="s">
        <v>63</v>
      </c>
      <c r="G5" t="s">
        <v>64</v>
      </c>
      <c r="H5" t="s">
        <v>55</v>
      </c>
      <c r="I5">
        <v>0</v>
      </c>
      <c r="J5">
        <v>2</v>
      </c>
    </row>
    <row r="6" spans="1:10" x14ac:dyDescent="0.2">
      <c r="A6" t="s">
        <v>2</v>
      </c>
      <c r="B6" t="s">
        <v>271</v>
      </c>
      <c r="C6" t="s">
        <v>266</v>
      </c>
      <c r="D6" t="s">
        <v>16</v>
      </c>
      <c r="E6" t="s">
        <v>69</v>
      </c>
      <c r="F6" t="s">
        <v>65</v>
      </c>
      <c r="G6" t="s">
        <v>67</v>
      </c>
      <c r="H6" t="s">
        <v>66</v>
      </c>
      <c r="I6">
        <v>0</v>
      </c>
      <c r="J6">
        <v>2</v>
      </c>
    </row>
    <row r="7" spans="1:10" x14ac:dyDescent="0.2">
      <c r="A7" t="s">
        <v>2</v>
      </c>
      <c r="B7" t="s">
        <v>271</v>
      </c>
      <c r="C7" t="s">
        <v>266</v>
      </c>
      <c r="D7" t="s">
        <v>68</v>
      </c>
      <c r="E7" t="s">
        <v>81</v>
      </c>
      <c r="F7" t="s">
        <v>72</v>
      </c>
      <c r="G7" t="s">
        <v>71</v>
      </c>
      <c r="H7" t="s">
        <v>66</v>
      </c>
      <c r="I7">
        <v>0</v>
      </c>
      <c r="J7">
        <v>2</v>
      </c>
    </row>
    <row r="8" spans="1:10" x14ac:dyDescent="0.2">
      <c r="A8" t="s">
        <v>2</v>
      </c>
      <c r="B8" t="s">
        <v>271</v>
      </c>
      <c r="C8" t="s">
        <v>266</v>
      </c>
      <c r="D8" t="s">
        <v>73</v>
      </c>
      <c r="E8" t="s">
        <v>74</v>
      </c>
      <c r="F8" t="s">
        <v>77</v>
      </c>
      <c r="G8" t="s">
        <v>76</v>
      </c>
      <c r="H8" t="s">
        <v>66</v>
      </c>
      <c r="I8">
        <v>0</v>
      </c>
      <c r="J8">
        <v>2</v>
      </c>
    </row>
    <row r="9" spans="1:10" x14ac:dyDescent="0.2">
      <c r="A9" t="s">
        <v>2</v>
      </c>
      <c r="B9" t="s">
        <v>271</v>
      </c>
      <c r="C9" t="s">
        <v>266</v>
      </c>
      <c r="D9" t="s">
        <v>75</v>
      </c>
      <c r="E9" t="s">
        <v>82</v>
      </c>
      <c r="F9" t="s">
        <v>17</v>
      </c>
      <c r="G9" t="s">
        <v>86</v>
      </c>
      <c r="H9" t="s">
        <v>66</v>
      </c>
      <c r="I9">
        <v>0</v>
      </c>
      <c r="J9">
        <v>2</v>
      </c>
    </row>
    <row r="10" spans="1:10" x14ac:dyDescent="0.2">
      <c r="A10" t="s">
        <v>2</v>
      </c>
      <c r="B10" t="s">
        <v>271</v>
      </c>
      <c r="C10" t="s">
        <v>266</v>
      </c>
      <c r="D10" t="s">
        <v>80</v>
      </c>
      <c r="E10" t="s">
        <v>78</v>
      </c>
      <c r="F10" t="s">
        <v>85</v>
      </c>
      <c r="G10" t="s">
        <v>79</v>
      </c>
      <c r="H10" t="s">
        <v>87</v>
      </c>
      <c r="I10">
        <v>0</v>
      </c>
      <c r="J10">
        <v>2</v>
      </c>
    </row>
    <row r="11" spans="1:10" x14ac:dyDescent="0.2">
      <c r="A11" t="s">
        <v>2</v>
      </c>
      <c r="B11" t="s">
        <v>271</v>
      </c>
      <c r="C11" t="s">
        <v>266</v>
      </c>
      <c r="D11" t="s">
        <v>83</v>
      </c>
      <c r="E11" t="s">
        <v>89</v>
      </c>
      <c r="F11" t="s">
        <v>88</v>
      </c>
      <c r="G11" t="s">
        <v>90</v>
      </c>
      <c r="H11" t="s">
        <v>87</v>
      </c>
      <c r="I11">
        <v>0</v>
      </c>
      <c r="J11">
        <v>2</v>
      </c>
    </row>
    <row r="12" spans="1:10" x14ac:dyDescent="0.2">
      <c r="A12" t="s">
        <v>2</v>
      </c>
      <c r="B12" t="s">
        <v>271</v>
      </c>
      <c r="C12" t="s">
        <v>266</v>
      </c>
      <c r="D12" t="s">
        <v>84</v>
      </c>
      <c r="E12" t="s">
        <v>92</v>
      </c>
      <c r="F12" t="s">
        <v>91</v>
      </c>
      <c r="G12" t="s">
        <v>283</v>
      </c>
      <c r="H12" t="s">
        <v>55</v>
      </c>
      <c r="I12">
        <v>0</v>
      </c>
      <c r="J12">
        <v>2</v>
      </c>
    </row>
    <row r="13" spans="1:10" ht="27" customHeight="1" x14ac:dyDescent="0.2">
      <c r="A13" t="s">
        <v>2</v>
      </c>
      <c r="B13" t="s">
        <v>272</v>
      </c>
      <c r="C13" t="s">
        <v>267</v>
      </c>
      <c r="D13" t="s">
        <v>12</v>
      </c>
      <c r="E13" t="s">
        <v>70</v>
      </c>
      <c r="F13" t="s">
        <v>52</v>
      </c>
      <c r="G13" t="s">
        <v>58</v>
      </c>
      <c r="H13" t="s">
        <v>55</v>
      </c>
      <c r="I13">
        <v>7</v>
      </c>
      <c r="J13">
        <v>10</v>
      </c>
    </row>
    <row r="14" spans="1:10" x14ac:dyDescent="0.2">
      <c r="A14" t="s">
        <v>2</v>
      </c>
      <c r="B14" t="s">
        <v>272</v>
      </c>
      <c r="C14" t="s">
        <v>266</v>
      </c>
      <c r="D14" t="s">
        <v>13</v>
      </c>
      <c r="E14" t="s">
        <v>56</v>
      </c>
      <c r="F14" t="s">
        <v>54</v>
      </c>
      <c r="G14" t="s">
        <v>57</v>
      </c>
      <c r="H14" t="s">
        <v>55</v>
      </c>
      <c r="I14">
        <v>7</v>
      </c>
      <c r="J14">
        <v>10</v>
      </c>
    </row>
    <row r="15" spans="1:10" x14ac:dyDescent="0.2">
      <c r="A15" t="s">
        <v>2</v>
      </c>
      <c r="B15" t="s">
        <v>272</v>
      </c>
      <c r="C15" t="s">
        <v>267</v>
      </c>
      <c r="D15" t="s">
        <v>14</v>
      </c>
      <c r="E15" t="s">
        <v>61</v>
      </c>
      <c r="F15" t="s">
        <v>59</v>
      </c>
      <c r="G15" t="s">
        <v>60</v>
      </c>
      <c r="H15" t="s">
        <v>55</v>
      </c>
      <c r="I15">
        <v>7</v>
      </c>
      <c r="J15">
        <v>10</v>
      </c>
    </row>
    <row r="16" spans="1:10" x14ac:dyDescent="0.2">
      <c r="A16" t="s">
        <v>2</v>
      </c>
      <c r="B16" t="s">
        <v>272</v>
      </c>
      <c r="C16" t="s">
        <v>267</v>
      </c>
      <c r="D16" t="s">
        <v>15</v>
      </c>
      <c r="E16" t="s">
        <v>62</v>
      </c>
      <c r="F16" t="s">
        <v>63</v>
      </c>
      <c r="G16" t="s">
        <v>64</v>
      </c>
      <c r="H16" t="s">
        <v>55</v>
      </c>
      <c r="I16">
        <v>7</v>
      </c>
      <c r="J16">
        <v>10</v>
      </c>
    </row>
    <row r="17" spans="1:10" x14ac:dyDescent="0.2">
      <c r="A17" t="s">
        <v>2</v>
      </c>
      <c r="B17" t="s">
        <v>272</v>
      </c>
      <c r="C17" t="s">
        <v>267</v>
      </c>
      <c r="D17" t="s">
        <v>16</v>
      </c>
      <c r="E17" t="s">
        <v>69</v>
      </c>
      <c r="F17" t="s">
        <v>65</v>
      </c>
      <c r="G17" t="s">
        <v>67</v>
      </c>
      <c r="H17" t="s">
        <v>66</v>
      </c>
      <c r="I17">
        <v>7</v>
      </c>
      <c r="J17">
        <v>10</v>
      </c>
    </row>
    <row r="18" spans="1:10" x14ac:dyDescent="0.2">
      <c r="A18" t="s">
        <v>2</v>
      </c>
      <c r="B18" t="s">
        <v>272</v>
      </c>
      <c r="C18" t="s">
        <v>267</v>
      </c>
      <c r="D18" t="s">
        <v>68</v>
      </c>
      <c r="E18" t="s">
        <v>81</v>
      </c>
      <c r="F18" t="s">
        <v>72</v>
      </c>
      <c r="G18" t="s">
        <v>71</v>
      </c>
      <c r="H18" t="s">
        <v>66</v>
      </c>
      <c r="I18">
        <v>7</v>
      </c>
      <c r="J18">
        <v>10</v>
      </c>
    </row>
    <row r="19" spans="1:10" x14ac:dyDescent="0.2">
      <c r="A19" t="s">
        <v>2</v>
      </c>
      <c r="B19" t="s">
        <v>272</v>
      </c>
      <c r="C19" t="s">
        <v>267</v>
      </c>
      <c r="D19" t="s">
        <v>73</v>
      </c>
      <c r="E19" t="s">
        <v>74</v>
      </c>
      <c r="F19" t="s">
        <v>77</v>
      </c>
      <c r="G19" t="s">
        <v>76</v>
      </c>
      <c r="H19" t="s">
        <v>66</v>
      </c>
      <c r="I19">
        <v>7</v>
      </c>
      <c r="J19">
        <v>10</v>
      </c>
    </row>
    <row r="20" spans="1:10" x14ac:dyDescent="0.2">
      <c r="A20" t="s">
        <v>2</v>
      </c>
      <c r="B20" t="s">
        <v>272</v>
      </c>
      <c r="C20" t="s">
        <v>267</v>
      </c>
      <c r="D20" t="s">
        <v>75</v>
      </c>
      <c r="E20" t="s">
        <v>82</v>
      </c>
      <c r="F20" t="s">
        <v>17</v>
      </c>
      <c r="G20" t="s">
        <v>86</v>
      </c>
      <c r="H20" t="s">
        <v>66</v>
      </c>
      <c r="I20">
        <v>7</v>
      </c>
      <c r="J20">
        <v>10</v>
      </c>
    </row>
    <row r="21" spans="1:10" x14ac:dyDescent="0.2">
      <c r="A21" t="s">
        <v>2</v>
      </c>
      <c r="B21" t="s">
        <v>272</v>
      </c>
      <c r="C21" t="s">
        <v>267</v>
      </c>
      <c r="D21" t="s">
        <v>80</v>
      </c>
      <c r="E21" t="s">
        <v>78</v>
      </c>
      <c r="F21" t="s">
        <v>85</v>
      </c>
      <c r="G21" t="s">
        <v>79</v>
      </c>
      <c r="H21" t="s">
        <v>87</v>
      </c>
      <c r="I21">
        <v>7</v>
      </c>
      <c r="J21">
        <v>10</v>
      </c>
    </row>
    <row r="22" spans="1:10" x14ac:dyDescent="0.2">
      <c r="A22" t="s">
        <v>2</v>
      </c>
      <c r="B22" t="s">
        <v>272</v>
      </c>
      <c r="C22" t="s">
        <v>267</v>
      </c>
      <c r="D22" t="s">
        <v>83</v>
      </c>
      <c r="E22" t="s">
        <v>89</v>
      </c>
      <c r="F22" t="s">
        <v>88</v>
      </c>
      <c r="G22" t="s">
        <v>90</v>
      </c>
      <c r="H22" t="s">
        <v>87</v>
      </c>
      <c r="I22">
        <v>7</v>
      </c>
      <c r="J22">
        <v>10</v>
      </c>
    </row>
    <row r="23" spans="1:10" x14ac:dyDescent="0.2">
      <c r="A23" t="s">
        <v>2</v>
      </c>
      <c r="B23" t="s">
        <v>272</v>
      </c>
      <c r="C23" t="s">
        <v>267</v>
      </c>
      <c r="D23" t="s">
        <v>84</v>
      </c>
      <c r="E23" t="s">
        <v>92</v>
      </c>
      <c r="F23" t="s">
        <v>91</v>
      </c>
      <c r="G23" t="s">
        <v>283</v>
      </c>
      <c r="H23" t="s">
        <v>55</v>
      </c>
      <c r="I23">
        <v>7</v>
      </c>
      <c r="J23">
        <v>10</v>
      </c>
    </row>
    <row r="24" spans="1:10" x14ac:dyDescent="0.2">
      <c r="A24" t="s">
        <v>2</v>
      </c>
      <c r="B24" t="s">
        <v>273</v>
      </c>
      <c r="C24" t="s">
        <v>268</v>
      </c>
      <c r="D24" t="s">
        <v>12</v>
      </c>
      <c r="E24" t="s">
        <v>70</v>
      </c>
      <c r="F24" t="s">
        <v>52</v>
      </c>
      <c r="G24" t="s">
        <v>58</v>
      </c>
      <c r="H24" t="s">
        <v>55</v>
      </c>
      <c r="I24">
        <v>25</v>
      </c>
      <c r="J24">
        <v>30</v>
      </c>
    </row>
    <row r="25" spans="1:10" x14ac:dyDescent="0.2">
      <c r="A25" s="6" t="s">
        <v>2</v>
      </c>
      <c r="B25" s="6" t="s">
        <v>273</v>
      </c>
      <c r="C25" s="6" t="s">
        <v>266</v>
      </c>
      <c r="D25" s="6" t="s">
        <v>13</v>
      </c>
      <c r="E25" s="6" t="s">
        <v>56</v>
      </c>
      <c r="F25" s="6" t="s">
        <v>54</v>
      </c>
      <c r="G25" s="6" t="s">
        <v>57</v>
      </c>
      <c r="H25" s="6" t="s">
        <v>55</v>
      </c>
      <c r="I25" s="6">
        <v>25</v>
      </c>
      <c r="J25" s="6">
        <v>30</v>
      </c>
    </row>
    <row r="26" spans="1:10" x14ac:dyDescent="0.2">
      <c r="A26" t="s">
        <v>2</v>
      </c>
      <c r="B26" t="s">
        <v>273</v>
      </c>
      <c r="C26" t="s">
        <v>268</v>
      </c>
      <c r="D26" t="s">
        <v>14</v>
      </c>
      <c r="E26" t="s">
        <v>61</v>
      </c>
      <c r="F26" t="s">
        <v>59</v>
      </c>
      <c r="G26" t="s">
        <v>60</v>
      </c>
      <c r="H26" t="s">
        <v>55</v>
      </c>
      <c r="I26">
        <v>25</v>
      </c>
      <c r="J26">
        <v>30</v>
      </c>
    </row>
    <row r="27" spans="1:10" x14ac:dyDescent="0.2">
      <c r="A27" t="s">
        <v>2</v>
      </c>
      <c r="B27" t="s">
        <v>273</v>
      </c>
      <c r="C27" t="s">
        <v>268</v>
      </c>
      <c r="D27" t="s">
        <v>15</v>
      </c>
      <c r="E27" t="s">
        <v>62</v>
      </c>
      <c r="F27" t="s">
        <v>63</v>
      </c>
      <c r="G27" t="s">
        <v>64</v>
      </c>
      <c r="H27" t="s">
        <v>55</v>
      </c>
      <c r="I27">
        <v>25</v>
      </c>
      <c r="J27">
        <v>30</v>
      </c>
    </row>
    <row r="28" spans="1:10" x14ac:dyDescent="0.2">
      <c r="A28" t="s">
        <v>2</v>
      </c>
      <c r="B28" t="s">
        <v>273</v>
      </c>
      <c r="C28" t="s">
        <v>268</v>
      </c>
      <c r="D28" t="s">
        <v>16</v>
      </c>
      <c r="E28" t="s">
        <v>69</v>
      </c>
      <c r="F28" t="s">
        <v>65</v>
      </c>
      <c r="G28" t="s">
        <v>67</v>
      </c>
      <c r="H28" t="s">
        <v>66</v>
      </c>
      <c r="I28">
        <v>25</v>
      </c>
      <c r="J28">
        <v>30</v>
      </c>
    </row>
    <row r="29" spans="1:10" x14ac:dyDescent="0.2">
      <c r="A29" t="s">
        <v>2</v>
      </c>
      <c r="B29" t="s">
        <v>273</v>
      </c>
      <c r="C29" t="s">
        <v>268</v>
      </c>
      <c r="D29" t="s">
        <v>68</v>
      </c>
      <c r="E29" t="s">
        <v>81</v>
      </c>
      <c r="F29" t="s">
        <v>72</v>
      </c>
      <c r="G29" t="s">
        <v>71</v>
      </c>
      <c r="H29" t="s">
        <v>66</v>
      </c>
      <c r="I29">
        <v>25</v>
      </c>
      <c r="J29">
        <v>30</v>
      </c>
    </row>
    <row r="30" spans="1:10" x14ac:dyDescent="0.2">
      <c r="A30" t="s">
        <v>2</v>
      </c>
      <c r="B30" t="s">
        <v>273</v>
      </c>
      <c r="C30" t="s">
        <v>268</v>
      </c>
      <c r="D30" t="s">
        <v>73</v>
      </c>
      <c r="E30" t="s">
        <v>74</v>
      </c>
      <c r="F30" t="s">
        <v>77</v>
      </c>
      <c r="G30" t="s">
        <v>76</v>
      </c>
      <c r="H30" t="s">
        <v>66</v>
      </c>
      <c r="I30">
        <v>25</v>
      </c>
      <c r="J30">
        <v>30</v>
      </c>
    </row>
    <row r="31" spans="1:10" x14ac:dyDescent="0.2">
      <c r="A31" t="s">
        <v>2</v>
      </c>
      <c r="B31" t="s">
        <v>273</v>
      </c>
      <c r="C31" t="s">
        <v>268</v>
      </c>
      <c r="D31" t="s">
        <v>75</v>
      </c>
      <c r="E31" t="s">
        <v>82</v>
      </c>
      <c r="F31" t="s">
        <v>17</v>
      </c>
      <c r="G31" t="s">
        <v>86</v>
      </c>
      <c r="H31" t="s">
        <v>66</v>
      </c>
      <c r="I31">
        <v>25</v>
      </c>
      <c r="J31">
        <v>30</v>
      </c>
    </row>
    <row r="32" spans="1:10" x14ac:dyDescent="0.2">
      <c r="A32" t="s">
        <v>2</v>
      </c>
      <c r="B32" t="s">
        <v>273</v>
      </c>
      <c r="C32" t="s">
        <v>268</v>
      </c>
      <c r="D32" t="s">
        <v>80</v>
      </c>
      <c r="E32" t="s">
        <v>78</v>
      </c>
      <c r="F32" t="s">
        <v>85</v>
      </c>
      <c r="G32" t="s">
        <v>79</v>
      </c>
      <c r="H32" t="s">
        <v>87</v>
      </c>
      <c r="I32">
        <v>25</v>
      </c>
      <c r="J32">
        <v>30</v>
      </c>
    </row>
    <row r="33" spans="1:10" x14ac:dyDescent="0.2">
      <c r="A33" t="s">
        <v>2</v>
      </c>
      <c r="B33" t="s">
        <v>273</v>
      </c>
      <c r="C33" t="s">
        <v>268</v>
      </c>
      <c r="D33" t="s">
        <v>83</v>
      </c>
      <c r="E33" t="s">
        <v>89</v>
      </c>
      <c r="F33" t="s">
        <v>88</v>
      </c>
      <c r="G33" t="s">
        <v>90</v>
      </c>
      <c r="H33" t="s">
        <v>87</v>
      </c>
      <c r="I33">
        <v>25</v>
      </c>
      <c r="J33">
        <v>30</v>
      </c>
    </row>
    <row r="34" spans="1:10" x14ac:dyDescent="0.2">
      <c r="A34" t="s">
        <v>2</v>
      </c>
      <c r="B34" t="s">
        <v>273</v>
      </c>
      <c r="C34" t="s">
        <v>268</v>
      </c>
      <c r="D34" t="s">
        <v>84</v>
      </c>
      <c r="E34" t="s">
        <v>92</v>
      </c>
      <c r="F34" t="s">
        <v>91</v>
      </c>
      <c r="G34" t="s">
        <v>283</v>
      </c>
      <c r="H34" t="s">
        <v>55</v>
      </c>
      <c r="I34">
        <v>25</v>
      </c>
      <c r="J34">
        <v>30</v>
      </c>
    </row>
  </sheetData>
  <autoFilter ref="A1:J24" xr:uid="{25DC8924-44E5-AD4B-87B5-2CDA623494C9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F044-33F2-784E-B3A9-FCBE2CCC7A33}">
  <sheetPr filterMode="1"/>
  <dimension ref="A1:H52"/>
  <sheetViews>
    <sheetView topLeftCell="D1" zoomScale="139" zoomScaleNormal="140" workbookViewId="0">
      <selection activeCell="H2" sqref="H2:H13"/>
    </sheetView>
  </sheetViews>
  <sheetFormatPr baseColWidth="10" defaultRowHeight="16" x14ac:dyDescent="0.2"/>
  <cols>
    <col min="3" max="3" width="29.1640625" customWidth="1"/>
    <col min="4" max="4" width="32" customWidth="1"/>
    <col min="5" max="5" width="18.6640625" customWidth="1"/>
    <col min="8" max="8" width="19.6640625" customWidth="1"/>
  </cols>
  <sheetData>
    <row r="1" spans="1:8" x14ac:dyDescent="0.2">
      <c r="A1" t="s">
        <v>0</v>
      </c>
      <c r="B1" t="s">
        <v>6</v>
      </c>
      <c r="C1" t="s">
        <v>7</v>
      </c>
      <c r="D1" t="s">
        <v>8</v>
      </c>
      <c r="E1" t="s">
        <v>93</v>
      </c>
      <c r="F1" t="s">
        <v>4</v>
      </c>
      <c r="G1" t="s">
        <v>5</v>
      </c>
      <c r="H1" t="s">
        <v>806</v>
      </c>
    </row>
    <row r="2" spans="1:8" x14ac:dyDescent="0.2">
      <c r="A2" t="s">
        <v>2</v>
      </c>
      <c r="B2" t="s">
        <v>29</v>
      </c>
      <c r="C2" t="s">
        <v>40</v>
      </c>
      <c r="D2" t="s">
        <v>41</v>
      </c>
      <c r="E2" t="s">
        <v>94</v>
      </c>
      <c r="F2">
        <v>0</v>
      </c>
      <c r="G2">
        <v>15</v>
      </c>
      <c r="H2">
        <v>1</v>
      </c>
    </row>
    <row r="3" spans="1:8" x14ac:dyDescent="0.2">
      <c r="A3" t="s">
        <v>2</v>
      </c>
      <c r="B3" t="s">
        <v>30</v>
      </c>
      <c r="C3" t="s">
        <v>96</v>
      </c>
      <c r="D3" t="s">
        <v>97</v>
      </c>
      <c r="E3" t="s">
        <v>95</v>
      </c>
      <c r="F3">
        <v>4</v>
      </c>
      <c r="G3">
        <v>20</v>
      </c>
      <c r="H3">
        <v>2</v>
      </c>
    </row>
    <row r="4" spans="1:8" x14ac:dyDescent="0.2">
      <c r="A4" t="s">
        <v>2</v>
      </c>
      <c r="B4" t="s">
        <v>31</v>
      </c>
      <c r="C4" t="s">
        <v>100</v>
      </c>
      <c r="D4" t="s">
        <v>101</v>
      </c>
      <c r="E4" t="s">
        <v>99</v>
      </c>
      <c r="F4">
        <v>0</v>
      </c>
      <c r="G4">
        <v>20</v>
      </c>
      <c r="H4">
        <v>5</v>
      </c>
    </row>
    <row r="5" spans="1:8" x14ac:dyDescent="0.2">
      <c r="A5" t="s">
        <v>2</v>
      </c>
      <c r="B5" t="s">
        <v>32</v>
      </c>
      <c r="C5" t="s">
        <v>105</v>
      </c>
      <c r="D5" t="s">
        <v>106</v>
      </c>
      <c r="E5" t="s">
        <v>104</v>
      </c>
      <c r="F5">
        <v>5</v>
      </c>
      <c r="G5">
        <v>45</v>
      </c>
      <c r="H5">
        <v>10</v>
      </c>
    </row>
    <row r="6" spans="1:8" x14ac:dyDescent="0.2">
      <c r="A6" t="s">
        <v>2</v>
      </c>
      <c r="B6" t="s">
        <v>33</v>
      </c>
      <c r="C6" t="s">
        <v>107</v>
      </c>
      <c r="D6" t="s">
        <v>108</v>
      </c>
      <c r="E6" t="s">
        <v>98</v>
      </c>
      <c r="F6">
        <v>10</v>
      </c>
      <c r="G6">
        <v>60</v>
      </c>
      <c r="H6">
        <v>12</v>
      </c>
    </row>
    <row r="7" spans="1:8" x14ac:dyDescent="0.2">
      <c r="A7" t="s">
        <v>2</v>
      </c>
      <c r="B7" t="s">
        <v>47</v>
      </c>
      <c r="C7" t="s">
        <v>109</v>
      </c>
      <c r="D7" t="s">
        <v>46</v>
      </c>
      <c r="E7" t="s">
        <v>99</v>
      </c>
      <c r="F7">
        <v>21</v>
      </c>
      <c r="G7">
        <v>120</v>
      </c>
      <c r="H7">
        <v>3</v>
      </c>
    </row>
    <row r="8" spans="1:8" x14ac:dyDescent="0.2">
      <c r="A8" t="s">
        <v>2</v>
      </c>
      <c r="B8" t="s">
        <v>115</v>
      </c>
      <c r="C8" t="s">
        <v>44</v>
      </c>
      <c r="D8" t="s">
        <v>45</v>
      </c>
      <c r="E8" t="s">
        <v>99</v>
      </c>
      <c r="F8">
        <v>21</v>
      </c>
      <c r="G8">
        <v>120</v>
      </c>
      <c r="H8">
        <v>4</v>
      </c>
    </row>
    <row r="9" spans="1:8" x14ac:dyDescent="0.2">
      <c r="A9" t="s">
        <v>2</v>
      </c>
      <c r="B9" t="s">
        <v>116</v>
      </c>
      <c r="C9" t="s">
        <v>42</v>
      </c>
      <c r="D9" t="s">
        <v>43</v>
      </c>
      <c r="E9" t="s">
        <v>102</v>
      </c>
      <c r="F9">
        <v>10</v>
      </c>
      <c r="G9">
        <v>120</v>
      </c>
      <c r="H9">
        <v>6</v>
      </c>
    </row>
    <row r="10" spans="1:8" x14ac:dyDescent="0.2">
      <c r="A10" t="s">
        <v>2</v>
      </c>
      <c r="B10" t="s">
        <v>117</v>
      </c>
      <c r="C10" t="s">
        <v>103</v>
      </c>
      <c r="D10" t="s">
        <v>110</v>
      </c>
      <c r="E10" t="s">
        <v>102</v>
      </c>
      <c r="F10">
        <v>76</v>
      </c>
      <c r="G10">
        <v>120</v>
      </c>
      <c r="H10">
        <v>8</v>
      </c>
    </row>
    <row r="11" spans="1:8" x14ac:dyDescent="0.2">
      <c r="A11" t="s">
        <v>2</v>
      </c>
      <c r="B11" t="s">
        <v>118</v>
      </c>
      <c r="C11" t="s">
        <v>111</v>
      </c>
      <c r="D11" t="s">
        <v>112</v>
      </c>
      <c r="E11" t="s">
        <v>102</v>
      </c>
      <c r="F11">
        <v>20</v>
      </c>
      <c r="G11">
        <v>120</v>
      </c>
      <c r="H11">
        <v>9</v>
      </c>
    </row>
    <row r="12" spans="1:8" x14ac:dyDescent="0.2">
      <c r="A12" t="s">
        <v>2</v>
      </c>
      <c r="B12" t="s">
        <v>119</v>
      </c>
      <c r="C12" t="s">
        <v>113</v>
      </c>
      <c r="D12" t="s">
        <v>114</v>
      </c>
      <c r="E12" t="s">
        <v>99</v>
      </c>
      <c r="F12">
        <v>80</v>
      </c>
      <c r="G12">
        <v>120</v>
      </c>
      <c r="H12">
        <v>7</v>
      </c>
    </row>
    <row r="13" spans="1:8" x14ac:dyDescent="0.2">
      <c r="A13" t="s">
        <v>2</v>
      </c>
      <c r="B13" t="s">
        <v>120</v>
      </c>
      <c r="C13" t="s">
        <v>173</v>
      </c>
      <c r="D13" t="s">
        <v>172</v>
      </c>
      <c r="E13" t="s">
        <v>102</v>
      </c>
      <c r="F13">
        <v>21</v>
      </c>
      <c r="G13">
        <v>120</v>
      </c>
      <c r="H13">
        <v>11</v>
      </c>
    </row>
    <row r="14" spans="1:8" hidden="1" x14ac:dyDescent="0.2">
      <c r="A14" t="s">
        <v>194</v>
      </c>
      <c r="B14" t="s">
        <v>29</v>
      </c>
      <c r="C14" t="s">
        <v>40</v>
      </c>
      <c r="D14" t="s">
        <v>41</v>
      </c>
      <c r="E14" t="s">
        <v>94</v>
      </c>
      <c r="F14">
        <v>0</v>
      </c>
      <c r="G14">
        <v>17</v>
      </c>
    </row>
    <row r="15" spans="1:8" hidden="1" x14ac:dyDescent="0.2">
      <c r="A15" t="s">
        <v>194</v>
      </c>
      <c r="B15" t="s">
        <v>30</v>
      </c>
      <c r="C15" t="s">
        <v>96</v>
      </c>
      <c r="D15" t="s">
        <v>97</v>
      </c>
      <c r="E15" t="s">
        <v>95</v>
      </c>
      <c r="F15">
        <v>0</v>
      </c>
      <c r="G15">
        <v>25</v>
      </c>
    </row>
    <row r="16" spans="1:8" hidden="1" x14ac:dyDescent="0.2">
      <c r="A16" t="s">
        <v>194</v>
      </c>
      <c r="B16" t="s">
        <v>31</v>
      </c>
      <c r="C16" t="s">
        <v>100</v>
      </c>
      <c r="D16" t="s">
        <v>101</v>
      </c>
      <c r="E16" t="s">
        <v>99</v>
      </c>
      <c r="F16">
        <v>0</v>
      </c>
      <c r="G16">
        <v>25</v>
      </c>
    </row>
    <row r="17" spans="1:7" hidden="1" x14ac:dyDescent="0.2">
      <c r="A17" t="s">
        <v>194</v>
      </c>
      <c r="B17" t="s">
        <v>32</v>
      </c>
      <c r="C17" t="s">
        <v>105</v>
      </c>
      <c r="D17" t="s">
        <v>106</v>
      </c>
      <c r="E17" t="s">
        <v>104</v>
      </c>
      <c r="F17">
        <v>10</v>
      </c>
      <c r="G17">
        <v>50</v>
      </c>
    </row>
    <row r="18" spans="1:7" hidden="1" x14ac:dyDescent="0.2">
      <c r="A18" t="s">
        <v>194</v>
      </c>
      <c r="B18" t="s">
        <v>33</v>
      </c>
      <c r="C18" t="s">
        <v>107</v>
      </c>
      <c r="D18" t="s">
        <v>108</v>
      </c>
      <c r="E18" t="s">
        <v>98</v>
      </c>
      <c r="F18">
        <v>10</v>
      </c>
      <c r="G18">
        <v>50</v>
      </c>
    </row>
    <row r="19" spans="1:7" hidden="1" x14ac:dyDescent="0.2">
      <c r="A19" t="s">
        <v>194</v>
      </c>
      <c r="B19" t="s">
        <v>47</v>
      </c>
      <c r="C19" t="s">
        <v>109</v>
      </c>
      <c r="D19" t="s">
        <v>46</v>
      </c>
      <c r="E19" t="s">
        <v>99</v>
      </c>
      <c r="F19">
        <v>10</v>
      </c>
      <c r="G19">
        <v>120</v>
      </c>
    </row>
    <row r="20" spans="1:7" hidden="1" x14ac:dyDescent="0.2">
      <c r="A20" t="s">
        <v>194</v>
      </c>
      <c r="B20" t="s">
        <v>115</v>
      </c>
      <c r="C20" t="s">
        <v>44</v>
      </c>
      <c r="D20" t="s">
        <v>45</v>
      </c>
      <c r="E20" t="s">
        <v>99</v>
      </c>
      <c r="F20">
        <v>20</v>
      </c>
      <c r="G20">
        <v>120</v>
      </c>
    </row>
    <row r="21" spans="1:7" hidden="1" x14ac:dyDescent="0.2">
      <c r="A21" t="s">
        <v>194</v>
      </c>
      <c r="B21" t="s">
        <v>116</v>
      </c>
      <c r="C21" t="s">
        <v>42</v>
      </c>
      <c r="D21" t="s">
        <v>43</v>
      </c>
      <c r="E21" t="s">
        <v>102</v>
      </c>
      <c r="F21">
        <v>10</v>
      </c>
      <c r="G21">
        <v>120</v>
      </c>
    </row>
    <row r="22" spans="1:7" hidden="1" x14ac:dyDescent="0.2">
      <c r="A22" t="s">
        <v>194</v>
      </c>
      <c r="B22" t="s">
        <v>117</v>
      </c>
      <c r="C22" t="s">
        <v>103</v>
      </c>
      <c r="D22" t="s">
        <v>110</v>
      </c>
      <c r="E22" t="s">
        <v>102</v>
      </c>
      <c r="F22">
        <v>20</v>
      </c>
      <c r="G22">
        <v>120</v>
      </c>
    </row>
    <row r="23" spans="1:7" hidden="1" x14ac:dyDescent="0.2">
      <c r="A23" t="s">
        <v>194</v>
      </c>
      <c r="B23" t="s">
        <v>118</v>
      </c>
      <c r="C23" t="s">
        <v>111</v>
      </c>
      <c r="D23" t="s">
        <v>112</v>
      </c>
      <c r="E23" t="s">
        <v>102</v>
      </c>
      <c r="F23">
        <v>20</v>
      </c>
      <c r="G23">
        <v>120</v>
      </c>
    </row>
    <row r="24" spans="1:7" hidden="1" x14ac:dyDescent="0.2">
      <c r="A24" t="s">
        <v>194</v>
      </c>
      <c r="B24" t="s">
        <v>119</v>
      </c>
      <c r="C24" t="s">
        <v>113</v>
      </c>
      <c r="D24" t="s">
        <v>114</v>
      </c>
      <c r="E24" t="s">
        <v>99</v>
      </c>
      <c r="F24">
        <v>80</v>
      </c>
      <c r="G24">
        <v>120</v>
      </c>
    </row>
    <row r="25" spans="1:7" hidden="1" x14ac:dyDescent="0.2">
      <c r="A25" t="s">
        <v>194</v>
      </c>
      <c r="B25" t="s">
        <v>120</v>
      </c>
      <c r="C25" t="s">
        <v>173</v>
      </c>
      <c r="D25" t="s">
        <v>172</v>
      </c>
      <c r="E25" t="s">
        <v>102</v>
      </c>
      <c r="F25">
        <v>0</v>
      </c>
      <c r="G25">
        <v>50</v>
      </c>
    </row>
    <row r="26" spans="1:7" ht="17" hidden="1" x14ac:dyDescent="0.2">
      <c r="A26" t="s">
        <v>196</v>
      </c>
      <c r="B26" t="s">
        <v>29</v>
      </c>
      <c r="C26" s="4" t="s">
        <v>247</v>
      </c>
      <c r="D26" s="4" t="s">
        <v>237</v>
      </c>
      <c r="E26" s="4" t="s">
        <v>99</v>
      </c>
      <c r="F26" s="5">
        <v>0</v>
      </c>
      <c r="G26" s="5">
        <v>1460</v>
      </c>
    </row>
    <row r="27" spans="1:7" ht="17" hidden="1" x14ac:dyDescent="0.2">
      <c r="A27" t="s">
        <v>196</v>
      </c>
      <c r="B27" t="s">
        <v>30</v>
      </c>
      <c r="C27" s="4" t="s">
        <v>248</v>
      </c>
      <c r="D27" s="4" t="s">
        <v>238</v>
      </c>
      <c r="E27" s="4" t="s">
        <v>102</v>
      </c>
      <c r="F27" s="5">
        <v>30</v>
      </c>
      <c r="G27" s="5">
        <v>1200</v>
      </c>
    </row>
    <row r="28" spans="1:7" ht="17" hidden="1" x14ac:dyDescent="0.2">
      <c r="A28" t="s">
        <v>196</v>
      </c>
      <c r="B28" t="s">
        <v>31</v>
      </c>
      <c r="C28" s="4" t="s">
        <v>258</v>
      </c>
      <c r="D28" s="4" t="s">
        <v>239</v>
      </c>
      <c r="E28" s="4" t="s">
        <v>99</v>
      </c>
      <c r="F28" s="5">
        <v>0</v>
      </c>
      <c r="G28" s="5">
        <v>1460</v>
      </c>
    </row>
    <row r="29" spans="1:7" ht="17" hidden="1" x14ac:dyDescent="0.2">
      <c r="A29" t="s">
        <v>196</v>
      </c>
      <c r="B29" t="s">
        <v>32</v>
      </c>
      <c r="C29" s="4" t="s">
        <v>259</v>
      </c>
      <c r="D29" s="4" t="s">
        <v>240</v>
      </c>
      <c r="E29" s="4" t="s">
        <v>102</v>
      </c>
      <c r="F29" s="5">
        <v>0</v>
      </c>
      <c r="G29" s="5">
        <v>1460</v>
      </c>
    </row>
    <row r="30" spans="1:7" ht="17" hidden="1" x14ac:dyDescent="0.2">
      <c r="A30" t="s">
        <v>196</v>
      </c>
      <c r="B30" t="s">
        <v>33</v>
      </c>
      <c r="C30" s="4" t="s">
        <v>254</v>
      </c>
      <c r="D30" s="4" t="s">
        <v>255</v>
      </c>
      <c r="E30" s="4" t="s">
        <v>94</v>
      </c>
      <c r="F30" s="5">
        <v>30</v>
      </c>
      <c r="G30" s="5">
        <v>1460</v>
      </c>
    </row>
    <row r="31" spans="1:7" ht="17" hidden="1" x14ac:dyDescent="0.2">
      <c r="A31" t="s">
        <v>196</v>
      </c>
      <c r="B31" t="s">
        <v>47</v>
      </c>
      <c r="C31" s="4" t="s">
        <v>260</v>
      </c>
      <c r="D31" s="4" t="s">
        <v>241</v>
      </c>
      <c r="E31" s="4" t="s">
        <v>98</v>
      </c>
      <c r="F31" s="5">
        <v>0</v>
      </c>
      <c r="G31" s="5">
        <v>1460</v>
      </c>
    </row>
    <row r="32" spans="1:7" ht="17" hidden="1" x14ac:dyDescent="0.2">
      <c r="A32" t="s">
        <v>196</v>
      </c>
      <c r="B32" t="s">
        <v>115</v>
      </c>
      <c r="C32" s="4" t="s">
        <v>249</v>
      </c>
      <c r="D32" s="4" t="s">
        <v>242</v>
      </c>
      <c r="E32" s="4" t="s">
        <v>98</v>
      </c>
      <c r="F32" s="5">
        <v>0</v>
      </c>
      <c r="G32" s="5">
        <v>1460</v>
      </c>
    </row>
    <row r="33" spans="1:7" ht="17" hidden="1" x14ac:dyDescent="0.2">
      <c r="A33" t="s">
        <v>196</v>
      </c>
      <c r="B33" t="s">
        <v>116</v>
      </c>
      <c r="C33" s="4" t="s">
        <v>250</v>
      </c>
      <c r="D33" s="4" t="s">
        <v>243</v>
      </c>
      <c r="E33" s="4" t="s">
        <v>102</v>
      </c>
      <c r="F33" s="5">
        <v>0</v>
      </c>
      <c r="G33" s="5">
        <v>1460</v>
      </c>
    </row>
    <row r="34" spans="1:7" ht="17" hidden="1" x14ac:dyDescent="0.2">
      <c r="A34" t="s">
        <v>196</v>
      </c>
      <c r="B34" t="s">
        <v>117</v>
      </c>
      <c r="C34" s="4" t="s">
        <v>251</v>
      </c>
      <c r="D34" s="4" t="s">
        <v>244</v>
      </c>
      <c r="E34" s="4" t="s">
        <v>102</v>
      </c>
      <c r="F34" s="5">
        <v>30</v>
      </c>
      <c r="G34" s="5">
        <v>1200</v>
      </c>
    </row>
    <row r="35" spans="1:7" ht="17" hidden="1" x14ac:dyDescent="0.2">
      <c r="A35" t="s">
        <v>196</v>
      </c>
      <c r="B35" t="s">
        <v>118</v>
      </c>
      <c r="C35" s="4" t="s">
        <v>252</v>
      </c>
      <c r="D35" s="4" t="s">
        <v>245</v>
      </c>
      <c r="E35" s="4" t="s">
        <v>98</v>
      </c>
      <c r="F35" s="5">
        <v>30</v>
      </c>
      <c r="G35" s="5">
        <v>1460</v>
      </c>
    </row>
    <row r="36" spans="1:7" ht="17" hidden="1" x14ac:dyDescent="0.2">
      <c r="A36" t="s">
        <v>196</v>
      </c>
      <c r="B36" t="s">
        <v>119</v>
      </c>
      <c r="C36" s="4" t="s">
        <v>253</v>
      </c>
      <c r="D36" s="4" t="s">
        <v>246</v>
      </c>
      <c r="E36" s="4" t="s">
        <v>99</v>
      </c>
      <c r="F36" s="5">
        <v>30</v>
      </c>
      <c r="G36" s="5">
        <v>1460</v>
      </c>
    </row>
    <row r="37" spans="1:7" ht="17" hidden="1" x14ac:dyDescent="0.2">
      <c r="A37" t="s">
        <v>196</v>
      </c>
      <c r="B37" t="s">
        <v>120</v>
      </c>
      <c r="C37" s="4" t="s">
        <v>257</v>
      </c>
      <c r="D37" s="4" t="s">
        <v>256</v>
      </c>
      <c r="E37" s="4" t="s">
        <v>261</v>
      </c>
      <c r="F37" s="5">
        <v>30</v>
      </c>
      <c r="G37" s="5">
        <v>1460</v>
      </c>
    </row>
    <row r="38" spans="1:7" ht="17" hidden="1" x14ac:dyDescent="0.2">
      <c r="A38" t="s">
        <v>212</v>
      </c>
      <c r="B38" t="s">
        <v>29</v>
      </c>
      <c r="C38" s="4" t="s">
        <v>247</v>
      </c>
      <c r="D38" s="4" t="s">
        <v>237</v>
      </c>
      <c r="E38" s="4" t="s">
        <v>99</v>
      </c>
      <c r="F38" s="4">
        <v>210</v>
      </c>
      <c r="G38" s="4">
        <v>365</v>
      </c>
    </row>
    <row r="39" spans="1:7" ht="17" hidden="1" x14ac:dyDescent="0.2">
      <c r="A39" t="s">
        <v>212</v>
      </c>
      <c r="B39" t="s">
        <v>30</v>
      </c>
      <c r="C39" s="4" t="s">
        <v>248</v>
      </c>
      <c r="D39" s="4" t="s">
        <v>238</v>
      </c>
      <c r="E39" s="4" t="s">
        <v>102</v>
      </c>
      <c r="F39" s="4">
        <v>30</v>
      </c>
      <c r="G39" s="4">
        <v>120</v>
      </c>
    </row>
    <row r="40" spans="1:7" ht="17" hidden="1" x14ac:dyDescent="0.2">
      <c r="A40" t="s">
        <v>212</v>
      </c>
      <c r="B40" t="s">
        <v>30</v>
      </c>
      <c r="C40" s="4" t="s">
        <v>248</v>
      </c>
      <c r="D40" s="4" t="s">
        <v>238</v>
      </c>
      <c r="E40" s="4" t="s">
        <v>102</v>
      </c>
      <c r="F40" s="4">
        <v>150</v>
      </c>
      <c r="G40" s="4">
        <v>210</v>
      </c>
    </row>
    <row r="41" spans="1:7" ht="17" hidden="1" x14ac:dyDescent="0.2">
      <c r="A41" t="s">
        <v>212</v>
      </c>
      <c r="B41" t="s">
        <v>31</v>
      </c>
      <c r="C41" s="4" t="s">
        <v>258</v>
      </c>
      <c r="D41" s="4" t="s">
        <v>239</v>
      </c>
      <c r="E41" s="4" t="s">
        <v>99</v>
      </c>
      <c r="F41" s="4">
        <v>210</v>
      </c>
      <c r="G41" s="4">
        <v>330</v>
      </c>
    </row>
    <row r="42" spans="1:7" ht="17" hidden="1" x14ac:dyDescent="0.2">
      <c r="A42" t="s">
        <v>212</v>
      </c>
      <c r="B42" t="s">
        <v>32</v>
      </c>
      <c r="C42" s="4" t="s">
        <v>259</v>
      </c>
      <c r="D42" s="4" t="s">
        <v>240</v>
      </c>
      <c r="E42" s="4" t="s">
        <v>102</v>
      </c>
      <c r="F42" s="4">
        <v>0</v>
      </c>
      <c r="G42" s="4">
        <v>365</v>
      </c>
    </row>
    <row r="43" spans="1:7" ht="17" hidden="1" x14ac:dyDescent="0.2">
      <c r="A43" t="s">
        <v>212</v>
      </c>
      <c r="B43" t="s">
        <v>33</v>
      </c>
      <c r="C43" s="4" t="s">
        <v>254</v>
      </c>
      <c r="D43" s="4" t="s">
        <v>255</v>
      </c>
      <c r="E43" s="4" t="s">
        <v>94</v>
      </c>
      <c r="F43" s="4">
        <v>30</v>
      </c>
      <c r="G43" s="4">
        <v>120</v>
      </c>
    </row>
    <row r="44" spans="1:7" ht="17" hidden="1" x14ac:dyDescent="0.2">
      <c r="A44" t="s">
        <v>212</v>
      </c>
      <c r="B44" t="s">
        <v>33</v>
      </c>
      <c r="C44" s="4" t="s">
        <v>254</v>
      </c>
      <c r="D44" s="4" t="s">
        <v>255</v>
      </c>
      <c r="E44" s="4" t="s">
        <v>94</v>
      </c>
      <c r="F44" s="4">
        <v>180</v>
      </c>
      <c r="G44" s="4">
        <v>270</v>
      </c>
    </row>
    <row r="45" spans="1:7" ht="17" hidden="1" x14ac:dyDescent="0.2">
      <c r="A45" t="s">
        <v>212</v>
      </c>
      <c r="B45" t="s">
        <v>47</v>
      </c>
      <c r="C45" s="4" t="s">
        <v>260</v>
      </c>
      <c r="D45" s="4" t="s">
        <v>241</v>
      </c>
      <c r="E45" s="4" t="s">
        <v>98</v>
      </c>
      <c r="F45" s="4">
        <v>0</v>
      </c>
      <c r="G45" s="4">
        <v>365</v>
      </c>
    </row>
    <row r="46" spans="1:7" ht="17" hidden="1" x14ac:dyDescent="0.2">
      <c r="A46" t="s">
        <v>212</v>
      </c>
      <c r="B46" t="s">
        <v>115</v>
      </c>
      <c r="C46" s="4" t="s">
        <v>249</v>
      </c>
      <c r="D46" s="4" t="s">
        <v>242</v>
      </c>
      <c r="E46" s="4" t="s">
        <v>98</v>
      </c>
      <c r="F46" s="4">
        <v>0</v>
      </c>
      <c r="G46" s="4">
        <v>365</v>
      </c>
    </row>
    <row r="47" spans="1:7" ht="17" hidden="1" x14ac:dyDescent="0.2">
      <c r="A47" t="s">
        <v>212</v>
      </c>
      <c r="B47" t="s">
        <v>116</v>
      </c>
      <c r="C47" s="4" t="s">
        <v>250</v>
      </c>
      <c r="D47" s="4" t="s">
        <v>243</v>
      </c>
      <c r="E47" s="4" t="s">
        <v>102</v>
      </c>
      <c r="F47" s="4">
        <v>0</v>
      </c>
      <c r="G47" s="4">
        <v>365</v>
      </c>
    </row>
    <row r="48" spans="1:7" ht="17" hidden="1" x14ac:dyDescent="0.2">
      <c r="A48" t="s">
        <v>212</v>
      </c>
      <c r="B48" t="s">
        <v>117</v>
      </c>
      <c r="C48" s="4" t="s">
        <v>251</v>
      </c>
      <c r="D48" s="4" t="s">
        <v>244</v>
      </c>
      <c r="E48" s="4" t="s">
        <v>102</v>
      </c>
      <c r="F48" s="4">
        <v>30</v>
      </c>
      <c r="G48" s="4">
        <v>180</v>
      </c>
    </row>
    <row r="49" spans="1:7" ht="17" hidden="1" x14ac:dyDescent="0.2">
      <c r="A49" t="s">
        <v>212</v>
      </c>
      <c r="B49" t="s">
        <v>118</v>
      </c>
      <c r="C49" s="4" t="s">
        <v>252</v>
      </c>
      <c r="D49" s="4" t="s">
        <v>245</v>
      </c>
      <c r="E49" s="4" t="s">
        <v>98</v>
      </c>
      <c r="F49" s="4">
        <v>30</v>
      </c>
      <c r="G49" s="4">
        <v>180</v>
      </c>
    </row>
    <row r="50" spans="1:7" ht="17" hidden="1" x14ac:dyDescent="0.2">
      <c r="A50" t="s">
        <v>212</v>
      </c>
      <c r="B50" t="s">
        <v>119</v>
      </c>
      <c r="C50" s="4" t="s">
        <v>253</v>
      </c>
      <c r="D50" s="4" t="s">
        <v>246</v>
      </c>
      <c r="E50" s="4" t="s">
        <v>99</v>
      </c>
      <c r="F50" s="4">
        <v>30</v>
      </c>
      <c r="G50" s="4">
        <v>180</v>
      </c>
    </row>
    <row r="51" spans="1:7" ht="17" hidden="1" x14ac:dyDescent="0.2">
      <c r="A51" t="s">
        <v>212</v>
      </c>
      <c r="B51" t="s">
        <v>119</v>
      </c>
      <c r="C51" s="4" t="s">
        <v>253</v>
      </c>
      <c r="D51" s="4" t="s">
        <v>246</v>
      </c>
      <c r="E51" s="4" t="s">
        <v>99</v>
      </c>
      <c r="F51" s="4">
        <v>200</v>
      </c>
      <c r="G51" s="4">
        <v>280</v>
      </c>
    </row>
    <row r="52" spans="1:7" ht="17" hidden="1" x14ac:dyDescent="0.2">
      <c r="A52" t="s">
        <v>212</v>
      </c>
      <c r="B52" t="s">
        <v>120</v>
      </c>
      <c r="C52" s="4" t="s">
        <v>257</v>
      </c>
      <c r="D52" s="4" t="s">
        <v>256</v>
      </c>
      <c r="E52" s="4" t="s">
        <v>261</v>
      </c>
      <c r="F52" s="4">
        <v>30</v>
      </c>
      <c r="G52" s="4">
        <v>180</v>
      </c>
    </row>
  </sheetData>
  <autoFilter ref="A1:G52" xr:uid="{CEC3F044-33F2-784E-B3A9-FCBE2CCC7A33}">
    <filterColumn colId="0">
      <filters>
        <filter val="c001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9425-7F62-384F-AD7F-68B32E0A090F}">
  <sheetPr filterMode="1"/>
  <dimension ref="A1:H10"/>
  <sheetViews>
    <sheetView topLeftCell="C1" zoomScale="130" zoomScaleNormal="130" workbookViewId="0">
      <selection activeCell="D9" sqref="D9"/>
    </sheetView>
  </sheetViews>
  <sheetFormatPr baseColWidth="10" defaultRowHeight="16" x14ac:dyDescent="0.2"/>
  <cols>
    <col min="3" max="3" width="23.6640625" customWidth="1"/>
    <col min="4" max="4" width="34.6640625" customWidth="1"/>
    <col min="5" max="5" width="21.1640625" customWidth="1"/>
    <col min="6" max="6" width="12.83203125" customWidth="1"/>
    <col min="7" max="7" width="11.6640625" customWidth="1"/>
  </cols>
  <sheetData>
    <row r="1" spans="1:8" x14ac:dyDescent="0.2">
      <c r="A1" t="s">
        <v>0</v>
      </c>
      <c r="B1" t="s">
        <v>18</v>
      </c>
      <c r="C1" t="s">
        <v>19</v>
      </c>
      <c r="D1" t="s">
        <v>20</v>
      </c>
      <c r="E1" t="s">
        <v>148</v>
      </c>
      <c r="F1" t="s">
        <v>26</v>
      </c>
      <c r="G1" t="s">
        <v>4</v>
      </c>
      <c r="H1" t="s">
        <v>5</v>
      </c>
    </row>
    <row r="2" spans="1:8" x14ac:dyDescent="0.2">
      <c r="A2" t="s">
        <v>2</v>
      </c>
      <c r="B2" t="s">
        <v>21</v>
      </c>
      <c r="C2" t="s">
        <v>121</v>
      </c>
      <c r="D2" t="s">
        <v>48</v>
      </c>
      <c r="E2" t="s">
        <v>139</v>
      </c>
      <c r="F2" t="s">
        <v>27</v>
      </c>
      <c r="G2">
        <v>0</v>
      </c>
      <c r="H2">
        <v>120</v>
      </c>
    </row>
    <row r="3" spans="1:8" x14ac:dyDescent="0.2">
      <c r="A3" t="s">
        <v>2</v>
      </c>
      <c r="B3" t="s">
        <v>22</v>
      </c>
      <c r="C3" t="s">
        <v>122</v>
      </c>
      <c r="D3" t="s">
        <v>133</v>
      </c>
      <c r="E3" t="s">
        <v>140</v>
      </c>
      <c r="F3" t="s">
        <v>27</v>
      </c>
      <c r="G3">
        <v>30</v>
      </c>
      <c r="H3">
        <v>120</v>
      </c>
    </row>
    <row r="4" spans="1:8" x14ac:dyDescent="0.2">
      <c r="A4" t="s">
        <v>2</v>
      </c>
      <c r="B4" t="s">
        <v>23</v>
      </c>
      <c r="C4" t="s">
        <v>123</v>
      </c>
      <c r="D4" t="s">
        <v>134</v>
      </c>
      <c r="E4" t="s">
        <v>141</v>
      </c>
      <c r="F4" t="s">
        <v>27</v>
      </c>
      <c r="G4">
        <v>30</v>
      </c>
      <c r="H4">
        <v>120</v>
      </c>
    </row>
    <row r="5" spans="1:8" x14ac:dyDescent="0.2">
      <c r="A5" t="s">
        <v>2</v>
      </c>
      <c r="B5" t="s">
        <v>24</v>
      </c>
      <c r="C5" t="s">
        <v>124</v>
      </c>
      <c r="D5" t="s">
        <v>135</v>
      </c>
      <c r="E5" t="s">
        <v>142</v>
      </c>
      <c r="F5" t="s">
        <v>149</v>
      </c>
      <c r="G5">
        <v>90</v>
      </c>
      <c r="H5">
        <v>120</v>
      </c>
    </row>
    <row r="6" spans="1:8" x14ac:dyDescent="0.2">
      <c r="A6" t="s">
        <v>2</v>
      </c>
      <c r="B6" t="s">
        <v>25</v>
      </c>
      <c r="C6" t="s">
        <v>125</v>
      </c>
      <c r="D6" t="s">
        <v>49</v>
      </c>
      <c r="E6" t="s">
        <v>143</v>
      </c>
      <c r="F6" t="s">
        <v>27</v>
      </c>
      <c r="G6">
        <v>0</v>
      </c>
      <c r="H6">
        <v>120</v>
      </c>
    </row>
    <row r="7" spans="1:8" x14ac:dyDescent="0.2">
      <c r="A7" t="s">
        <v>2</v>
      </c>
      <c r="B7" t="s">
        <v>51</v>
      </c>
      <c r="C7" t="s">
        <v>126</v>
      </c>
      <c r="D7" t="s">
        <v>136</v>
      </c>
      <c r="E7" t="s">
        <v>144</v>
      </c>
      <c r="F7" t="s">
        <v>27</v>
      </c>
      <c r="G7">
        <v>60</v>
      </c>
      <c r="H7">
        <v>120</v>
      </c>
    </row>
    <row r="8" spans="1:8" x14ac:dyDescent="0.2">
      <c r="A8" t="s">
        <v>2</v>
      </c>
      <c r="B8" t="s">
        <v>130</v>
      </c>
      <c r="C8" t="s">
        <v>127</v>
      </c>
      <c r="D8" t="s">
        <v>137</v>
      </c>
      <c r="E8" t="s">
        <v>145</v>
      </c>
      <c r="F8" t="s">
        <v>27</v>
      </c>
      <c r="G8">
        <v>90</v>
      </c>
      <c r="H8">
        <v>120</v>
      </c>
    </row>
    <row r="9" spans="1:8" x14ac:dyDescent="0.2">
      <c r="A9" t="s">
        <v>2</v>
      </c>
      <c r="B9" t="s">
        <v>131</v>
      </c>
      <c r="C9" t="s">
        <v>128</v>
      </c>
      <c r="D9" t="s">
        <v>50</v>
      </c>
      <c r="E9" t="s">
        <v>146</v>
      </c>
      <c r="F9" t="s">
        <v>150</v>
      </c>
      <c r="G9">
        <v>60</v>
      </c>
      <c r="H9">
        <v>120</v>
      </c>
    </row>
    <row r="10" spans="1:8" x14ac:dyDescent="0.2">
      <c r="A10" t="s">
        <v>2</v>
      </c>
      <c r="B10" t="s">
        <v>132</v>
      </c>
      <c r="C10" t="s">
        <v>129</v>
      </c>
      <c r="D10" t="s">
        <v>138</v>
      </c>
      <c r="E10" t="s">
        <v>147</v>
      </c>
      <c r="F10" t="s">
        <v>150</v>
      </c>
      <c r="G10">
        <v>60</v>
      </c>
      <c r="H10">
        <v>120</v>
      </c>
    </row>
  </sheetData>
  <autoFilter ref="A1:H19" xr:uid="{DF719425-7F62-384F-AD7F-68B32E0A090F}">
    <filterColumn colId="0">
      <filters>
        <filter val="c001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79A2-5065-E347-BD69-EC430369AFA7}">
  <dimension ref="A1:F7"/>
  <sheetViews>
    <sheetView workbookViewId="0">
      <selection activeCell="B6" sqref="B6"/>
    </sheetView>
  </sheetViews>
  <sheetFormatPr baseColWidth="10" defaultRowHeight="16" x14ac:dyDescent="0.2"/>
  <cols>
    <col min="4" max="4" width="14.1640625" customWidth="1"/>
  </cols>
  <sheetData>
    <row r="1" spans="1:6" x14ac:dyDescent="0.2">
      <c r="A1" t="s">
        <v>0</v>
      </c>
      <c r="B1" t="s">
        <v>805</v>
      </c>
      <c r="C1" t="s">
        <v>799</v>
      </c>
      <c r="D1" s="1" t="s">
        <v>3</v>
      </c>
      <c r="E1" t="s">
        <v>4</v>
      </c>
      <c r="F1" t="s">
        <v>5</v>
      </c>
    </row>
    <row r="2" spans="1:6" x14ac:dyDescent="0.2">
      <c r="A2" t="s">
        <v>2</v>
      </c>
      <c r="B2" t="s">
        <v>38</v>
      </c>
      <c r="C2" t="s">
        <v>800</v>
      </c>
      <c r="D2" s="1" t="s">
        <v>284</v>
      </c>
      <c r="E2">
        <v>20</v>
      </c>
      <c r="F2">
        <v>30</v>
      </c>
    </row>
    <row r="3" spans="1:6" x14ac:dyDescent="0.2">
      <c r="A3" t="s">
        <v>2</v>
      </c>
      <c r="B3" t="s">
        <v>38</v>
      </c>
      <c r="C3" t="s">
        <v>801</v>
      </c>
      <c r="D3" s="1" t="s">
        <v>803</v>
      </c>
      <c r="E3">
        <v>40</v>
      </c>
      <c r="F3">
        <v>50</v>
      </c>
    </row>
    <row r="4" spans="1:6" x14ac:dyDescent="0.2">
      <c r="A4" t="s">
        <v>2</v>
      </c>
      <c r="B4" t="s">
        <v>38</v>
      </c>
      <c r="C4" t="s">
        <v>802</v>
      </c>
      <c r="D4" s="1" t="s">
        <v>804</v>
      </c>
      <c r="E4">
        <v>60</v>
      </c>
      <c r="F4">
        <v>70</v>
      </c>
    </row>
    <row r="5" spans="1:6" x14ac:dyDescent="0.2">
      <c r="D5" s="1"/>
    </row>
    <row r="6" spans="1:6" x14ac:dyDescent="0.2">
      <c r="D6" s="1"/>
    </row>
    <row r="7" spans="1:6" x14ac:dyDescent="0.2">
      <c r="D7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552A60-D92D-0744-921B-90BCB729C0B9}">
          <x14:formula1>
            <xm:f>crop_ref!$A$2:$A$5</xm:f>
          </x14:formula1>
          <xm:sqref>A2:A4</xm:sqref>
        </x14:dataValidation>
        <x14:dataValidation type="list" allowBlank="1" showInputMessage="1" showErrorMessage="1" xr:uid="{9173C125-2F02-A74E-89B5-4402C8C65D9C}">
          <x14:formula1>
            <xm:f>crop_ref!$B$2:$B$5</xm:f>
          </x14:formula1>
          <xm:sqref>B2:B4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92B2-2C41-1244-8687-204538C3610A}">
  <dimension ref="A1:H4"/>
  <sheetViews>
    <sheetView workbookViewId="0">
      <selection activeCell="H1" sqref="H1:H4"/>
    </sheetView>
  </sheetViews>
  <sheetFormatPr baseColWidth="10" defaultRowHeight="16" x14ac:dyDescent="0.2"/>
  <cols>
    <col min="3" max="3" width="12.83203125" customWidth="1"/>
    <col min="4" max="4" width="13.6640625" customWidth="1"/>
  </cols>
  <sheetData>
    <row r="1" spans="1:8" x14ac:dyDescent="0.2">
      <c r="A1" t="s">
        <v>822</v>
      </c>
      <c r="B1" t="s">
        <v>761</v>
      </c>
      <c r="C1" t="s">
        <v>762</v>
      </c>
      <c r="D1" t="s">
        <v>28</v>
      </c>
      <c r="E1" t="s">
        <v>759</v>
      </c>
      <c r="F1" t="s">
        <v>760</v>
      </c>
      <c r="G1" t="s">
        <v>192</v>
      </c>
      <c r="H1" t="s">
        <v>814</v>
      </c>
    </row>
    <row r="2" spans="1:8" x14ac:dyDescent="0.2">
      <c r="A2" t="s">
        <v>807</v>
      </c>
      <c r="B2" t="s">
        <v>763</v>
      </c>
      <c r="C2" t="s">
        <v>764</v>
      </c>
      <c r="D2" s="2" t="s">
        <v>406</v>
      </c>
      <c r="E2" s="2" t="s">
        <v>765</v>
      </c>
      <c r="F2" s="2" t="s">
        <v>766</v>
      </c>
      <c r="G2" s="3" t="s">
        <v>767</v>
      </c>
      <c r="H2" t="s">
        <v>812</v>
      </c>
    </row>
    <row r="3" spans="1:8" x14ac:dyDescent="0.2">
      <c r="A3" t="s">
        <v>808</v>
      </c>
      <c r="B3" t="s">
        <v>769</v>
      </c>
      <c r="C3" t="s">
        <v>764</v>
      </c>
      <c r="D3" s="2" t="s">
        <v>455</v>
      </c>
      <c r="E3" s="2" t="s">
        <v>768</v>
      </c>
      <c r="F3" s="2" t="s">
        <v>766</v>
      </c>
      <c r="G3" s="3" t="s">
        <v>282</v>
      </c>
      <c r="H3" t="s">
        <v>810</v>
      </c>
    </row>
    <row r="4" spans="1:8" x14ac:dyDescent="0.2">
      <c r="A4" t="s">
        <v>809</v>
      </c>
      <c r="B4" t="s">
        <v>771</v>
      </c>
      <c r="C4" t="s">
        <v>764</v>
      </c>
      <c r="D4" s="2" t="s">
        <v>357</v>
      </c>
      <c r="E4" s="2" t="s">
        <v>770</v>
      </c>
      <c r="F4" s="2" t="s">
        <v>766</v>
      </c>
      <c r="G4" s="3" t="s">
        <v>281</v>
      </c>
      <c r="H4" t="s">
        <v>810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EC3E7C0-CBBF-014A-829B-A72C51123E9B}">
          <x14:formula1>
            <xm:f>ref!$A$17:$A$19</xm:f>
          </x14:formula1>
          <xm:sqref>H2:H4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68BE-9DF0-1A41-8CF6-E1F32D0B1C16}">
  <dimension ref="A1:F28"/>
  <sheetViews>
    <sheetView zoomScale="130" zoomScaleNormal="130" workbookViewId="0">
      <selection activeCell="E1" sqref="E1"/>
    </sheetView>
  </sheetViews>
  <sheetFormatPr baseColWidth="10" defaultRowHeight="16" x14ac:dyDescent="0.2"/>
  <cols>
    <col min="1" max="1" width="12.33203125" customWidth="1"/>
    <col min="2" max="2" width="16.83203125" customWidth="1"/>
    <col min="3" max="3" width="13.1640625" customWidth="1"/>
    <col min="4" max="6" width="20.6640625" customWidth="1"/>
  </cols>
  <sheetData>
    <row r="1" spans="1:6" x14ac:dyDescent="0.2">
      <c r="A1" t="s">
        <v>0</v>
      </c>
      <c r="B1" t="s">
        <v>274</v>
      </c>
      <c r="C1" t="s">
        <v>9</v>
      </c>
      <c r="D1" t="s">
        <v>11</v>
      </c>
      <c r="E1" t="s">
        <v>822</v>
      </c>
      <c r="F1" t="s">
        <v>761</v>
      </c>
    </row>
    <row r="2" spans="1:6" x14ac:dyDescent="0.2">
      <c r="A2" t="s">
        <v>2</v>
      </c>
      <c r="B2" t="s">
        <v>272</v>
      </c>
      <c r="C2" t="str">
        <f>_xlfn.XLOOKUP(D2,ref!$B$2:$B$12,ref!$A$2:$A$12,"not found")</f>
        <v>w004</v>
      </c>
      <c r="D2" t="s">
        <v>63</v>
      </c>
      <c r="E2" t="str">
        <f>_xlfn.XLOOKUP(F2,prod_her!$B$2:$B$4,prod_her!$A$2:$A$4,"not found")</f>
        <v>her001</v>
      </c>
      <c r="F2" t="s">
        <v>763</v>
      </c>
    </row>
    <row r="3" spans="1:6" x14ac:dyDescent="0.2">
      <c r="A3" t="s">
        <v>2</v>
      </c>
      <c r="B3" t="s">
        <v>272</v>
      </c>
      <c r="C3" t="str">
        <f>_xlfn.XLOOKUP(D3,ref!$B$2:$B$12,ref!$A$2:$A$12,"not found")</f>
        <v>w003</v>
      </c>
      <c r="D3" t="s">
        <v>59</v>
      </c>
      <c r="E3" t="str">
        <f>_xlfn.XLOOKUP(F3,prod_her!$B$2:$B$4,prod_her!$A$2:$A$4,"not found")</f>
        <v>her001</v>
      </c>
      <c r="F3" t="s">
        <v>763</v>
      </c>
    </row>
    <row r="4" spans="1:6" x14ac:dyDescent="0.2">
      <c r="A4" t="s">
        <v>2</v>
      </c>
      <c r="B4" t="s">
        <v>272</v>
      </c>
      <c r="C4" t="str">
        <f>_xlfn.XLOOKUP(D4,ref!$B$2:$B$12,ref!$A$2:$A$12,"not found")</f>
        <v>w001</v>
      </c>
      <c r="D4" t="s">
        <v>52</v>
      </c>
      <c r="E4" t="str">
        <f>_xlfn.XLOOKUP(F4,prod_her!$B$2:$B$4,prod_her!$A$2:$A$4,"not found")</f>
        <v>her001</v>
      </c>
      <c r="F4" t="s">
        <v>763</v>
      </c>
    </row>
    <row r="5" spans="1:6" ht="14" customHeight="1" x14ac:dyDescent="0.2">
      <c r="A5" t="s">
        <v>2</v>
      </c>
      <c r="B5" t="s">
        <v>272</v>
      </c>
      <c r="C5" t="str">
        <f>_xlfn.XLOOKUP(D5,ref!$B$2:$B$12,ref!$A$2:$A$12,"not found")</f>
        <v>w002</v>
      </c>
      <c r="D5" t="s">
        <v>54</v>
      </c>
      <c r="E5" t="str">
        <f>_xlfn.XLOOKUP(F5,prod_her!$B$2:$B$4,prod_her!$A$2:$A$4,"not found")</f>
        <v>her001</v>
      </c>
      <c r="F5" t="s">
        <v>763</v>
      </c>
    </row>
    <row r="6" spans="1:6" ht="14" customHeight="1" x14ac:dyDescent="0.2">
      <c r="A6" t="s">
        <v>2</v>
      </c>
      <c r="B6" t="s">
        <v>272</v>
      </c>
      <c r="C6" t="str">
        <f>_xlfn.XLOOKUP(D6,ref!$B$2:$B$12,ref!$A$2:$A$12,"not found")</f>
        <v>w009</v>
      </c>
      <c r="D6" t="s">
        <v>85</v>
      </c>
      <c r="E6" t="str">
        <f>_xlfn.XLOOKUP(F6,prod_her!$B$2:$B$4,prod_her!$A$2:$A$4,"not found")</f>
        <v>her001</v>
      </c>
      <c r="F6" t="s">
        <v>763</v>
      </c>
    </row>
    <row r="7" spans="1:6" ht="14" customHeight="1" x14ac:dyDescent="0.2">
      <c r="A7" t="s">
        <v>2</v>
      </c>
      <c r="B7" t="s">
        <v>272</v>
      </c>
      <c r="C7" t="str">
        <f>_xlfn.XLOOKUP(D7,ref!$B$2:$B$12,ref!$A$2:$A$12,"not found")</f>
        <v>w010</v>
      </c>
      <c r="D7" t="s">
        <v>88</v>
      </c>
      <c r="E7" t="str">
        <f>_xlfn.XLOOKUP(F7,prod_her!$B$2:$B$4,prod_her!$A$2:$A$4,"not found")</f>
        <v>her001</v>
      </c>
      <c r="F7" t="s">
        <v>763</v>
      </c>
    </row>
    <row r="8" spans="1:6" ht="14" customHeight="1" x14ac:dyDescent="0.2">
      <c r="A8" t="s">
        <v>2</v>
      </c>
      <c r="B8" t="s">
        <v>272</v>
      </c>
      <c r="C8" t="str">
        <f>_xlfn.XLOOKUP(D8,ref!$B$2:$B$12,ref!$A$2:$A$12,"not found")</f>
        <v>w005</v>
      </c>
      <c r="D8" t="s">
        <v>65</v>
      </c>
      <c r="E8" t="str">
        <f>_xlfn.XLOOKUP(F8,prod_her!$B$2:$B$4,prod_her!$A$2:$A$4,"not found")</f>
        <v>her001</v>
      </c>
      <c r="F8" t="s">
        <v>763</v>
      </c>
    </row>
    <row r="9" spans="1:6" ht="14" customHeight="1" x14ac:dyDescent="0.2">
      <c r="A9" t="s">
        <v>2</v>
      </c>
      <c r="B9" t="s">
        <v>272</v>
      </c>
      <c r="C9" t="str">
        <f>_xlfn.XLOOKUP(D9,ref!$B$2:$B$12,ref!$A$2:$A$12,"not found")</f>
        <v>w006</v>
      </c>
      <c r="D9" t="s">
        <v>72</v>
      </c>
      <c r="E9" t="str">
        <f>_xlfn.XLOOKUP(F9,prod_her!$B$2:$B$4,prod_her!$A$2:$A$4,"not found")</f>
        <v>her001</v>
      </c>
      <c r="F9" t="s">
        <v>763</v>
      </c>
    </row>
    <row r="10" spans="1:6" x14ac:dyDescent="0.2">
      <c r="A10" t="s">
        <v>2</v>
      </c>
      <c r="B10" t="s">
        <v>272</v>
      </c>
      <c r="C10" t="str">
        <f>_xlfn.XLOOKUP(D10,ref!$B$2:$B$12,ref!$A$2:$A$12,"not found")</f>
        <v>w007</v>
      </c>
      <c r="D10" t="s">
        <v>77</v>
      </c>
      <c r="E10" t="str">
        <f>_xlfn.XLOOKUP(F10,prod_her!$B$2:$B$4,prod_her!$A$2:$A$4,"not found")</f>
        <v>her001</v>
      </c>
      <c r="F10" t="s">
        <v>763</v>
      </c>
    </row>
    <row r="11" spans="1:6" x14ac:dyDescent="0.2">
      <c r="A11" t="s">
        <v>2</v>
      </c>
      <c r="B11" t="s">
        <v>271</v>
      </c>
      <c r="C11" t="str">
        <f>_xlfn.XLOOKUP(D11,ref!$B$2:$B$12,ref!$A$2:$A$12,"not found")</f>
        <v>w011</v>
      </c>
      <c r="D11" t="s">
        <v>91</v>
      </c>
      <c r="E11" t="str">
        <f>_xlfn.XLOOKUP(F11,prod_her!$B$2:$B$4,prod_her!$A$2:$A$4,"not found")</f>
        <v>her002</v>
      </c>
      <c r="F11" t="s">
        <v>769</v>
      </c>
    </row>
    <row r="12" spans="1:6" x14ac:dyDescent="0.2">
      <c r="A12" t="s">
        <v>2</v>
      </c>
      <c r="B12" t="s">
        <v>271</v>
      </c>
      <c r="C12" t="str">
        <f>_xlfn.XLOOKUP(D12,ref!$B$2:$B$12,ref!$A$2:$A$12,"not found")</f>
        <v>w004</v>
      </c>
      <c r="D12" t="s">
        <v>63</v>
      </c>
      <c r="E12" t="str">
        <f>_xlfn.XLOOKUP(F12,prod_her!$B$2:$B$4,prod_her!$A$2:$A$4,"not found")</f>
        <v>her002</v>
      </c>
      <c r="F12" t="s">
        <v>769</v>
      </c>
    </row>
    <row r="13" spans="1:6" x14ac:dyDescent="0.2">
      <c r="A13" t="s">
        <v>2</v>
      </c>
      <c r="B13" t="s">
        <v>271</v>
      </c>
      <c r="C13" t="str">
        <f>_xlfn.XLOOKUP(D13,ref!$B$2:$B$12,ref!$A$2:$A$12,"not found")</f>
        <v>w001</v>
      </c>
      <c r="D13" t="s">
        <v>52</v>
      </c>
      <c r="E13" t="str">
        <f>_xlfn.XLOOKUP(F13,prod_her!$B$2:$B$4,prod_her!$A$2:$A$4,"not found")</f>
        <v>her002</v>
      </c>
      <c r="F13" t="s">
        <v>769</v>
      </c>
    </row>
    <row r="14" spans="1:6" x14ac:dyDescent="0.2">
      <c r="A14" t="s">
        <v>2</v>
      </c>
      <c r="B14" t="s">
        <v>271</v>
      </c>
      <c r="C14" t="str">
        <f>_xlfn.XLOOKUP(D14,ref!$B$2:$B$12,ref!$A$2:$A$12,"not found")</f>
        <v>w003</v>
      </c>
      <c r="D14" t="s">
        <v>59</v>
      </c>
      <c r="E14" t="str">
        <f>_xlfn.XLOOKUP(F14,prod_her!$B$2:$B$4,prod_her!$A$2:$A$4,"not found")</f>
        <v>her002</v>
      </c>
      <c r="F14" t="s">
        <v>769</v>
      </c>
    </row>
    <row r="15" spans="1:6" x14ac:dyDescent="0.2">
      <c r="A15" t="s">
        <v>2</v>
      </c>
      <c r="B15" t="s">
        <v>271</v>
      </c>
      <c r="C15" t="str">
        <f>_xlfn.XLOOKUP(D15,ref!$B$2:$B$12,ref!$A$2:$A$12,"not found")</f>
        <v>w002</v>
      </c>
      <c r="D15" t="s">
        <v>54</v>
      </c>
      <c r="E15" t="str">
        <f>_xlfn.XLOOKUP(F15,prod_her!$B$2:$B$4,prod_her!$A$2:$A$4,"not found")</f>
        <v>her002</v>
      </c>
      <c r="F15" t="s">
        <v>769</v>
      </c>
    </row>
    <row r="16" spans="1:6" x14ac:dyDescent="0.2">
      <c r="A16" t="s">
        <v>2</v>
      </c>
      <c r="B16" t="s">
        <v>271</v>
      </c>
      <c r="C16" t="str">
        <f>_xlfn.XLOOKUP(D16,ref!$B$2:$B$12,ref!$A$2:$A$12,"not found")</f>
        <v>w009</v>
      </c>
      <c r="D16" t="s">
        <v>85</v>
      </c>
      <c r="E16" t="str">
        <f>_xlfn.XLOOKUP(F16,prod_her!$B$2:$B$4,prod_her!$A$2:$A$4,"not found")</f>
        <v>her002</v>
      </c>
      <c r="F16" t="s">
        <v>769</v>
      </c>
    </row>
    <row r="17" spans="1:6" x14ac:dyDescent="0.2">
      <c r="A17" t="s">
        <v>2</v>
      </c>
      <c r="B17" t="s">
        <v>271</v>
      </c>
      <c r="C17" t="str">
        <f>_xlfn.XLOOKUP(D17,ref!$B$2:$B$12,ref!$A$2:$A$12,"not found")</f>
        <v>w010</v>
      </c>
      <c r="D17" t="s">
        <v>88</v>
      </c>
      <c r="E17" t="str">
        <f>_xlfn.XLOOKUP(F17,prod_her!$B$2:$B$4,prod_her!$A$2:$A$4,"not found")</f>
        <v>her002</v>
      </c>
      <c r="F17" t="s">
        <v>769</v>
      </c>
    </row>
    <row r="18" spans="1:6" x14ac:dyDescent="0.2">
      <c r="A18" t="s">
        <v>2</v>
      </c>
      <c r="B18" t="s">
        <v>271</v>
      </c>
      <c r="C18" t="str">
        <f>_xlfn.XLOOKUP(D18,ref!$B$2:$B$12,ref!$A$2:$A$12,"not found")</f>
        <v>w005</v>
      </c>
      <c r="D18" t="s">
        <v>65</v>
      </c>
      <c r="E18" t="str">
        <f>_xlfn.XLOOKUP(F18,prod_her!$B$2:$B$4,prod_her!$A$2:$A$4,"not found")</f>
        <v>her002</v>
      </c>
      <c r="F18" t="s">
        <v>769</v>
      </c>
    </row>
    <row r="19" spans="1:6" x14ac:dyDescent="0.2">
      <c r="A19" t="s">
        <v>2</v>
      </c>
      <c r="B19" t="s">
        <v>271</v>
      </c>
      <c r="C19" t="str">
        <f>_xlfn.XLOOKUP(D19,ref!$B$2:$B$12,ref!$A$2:$A$12,"not found")</f>
        <v>w006</v>
      </c>
      <c r="D19" t="s">
        <v>72</v>
      </c>
      <c r="E19" t="str">
        <f>_xlfn.XLOOKUP(F19,prod_her!$B$2:$B$4,prod_her!$A$2:$A$4,"not found")</f>
        <v>her002</v>
      </c>
      <c r="F19" t="s">
        <v>769</v>
      </c>
    </row>
    <row r="20" spans="1:6" x14ac:dyDescent="0.2">
      <c r="A20" t="s">
        <v>2</v>
      </c>
      <c r="B20" t="s">
        <v>271</v>
      </c>
      <c r="C20" t="str">
        <f>_xlfn.XLOOKUP(D20,ref!$B$2:$B$12,ref!$A$2:$A$12,"not found")</f>
        <v>w007</v>
      </c>
      <c r="D20" t="s">
        <v>77</v>
      </c>
      <c r="E20" t="str">
        <f>_xlfn.XLOOKUP(F20,prod_her!$B$2:$B$4,prod_her!$A$2:$A$4,"not found")</f>
        <v>her002</v>
      </c>
      <c r="F20" t="s">
        <v>769</v>
      </c>
    </row>
    <row r="21" spans="1:6" x14ac:dyDescent="0.2">
      <c r="A21" t="s">
        <v>2</v>
      </c>
      <c r="B21" t="s">
        <v>272</v>
      </c>
      <c r="C21" t="str">
        <f>_xlfn.XLOOKUP(D21,ref!$B$2:$B$12,ref!$A$2:$A$12,"not found")</f>
        <v>w005</v>
      </c>
      <c r="D21" t="s">
        <v>65</v>
      </c>
      <c r="E21" t="str">
        <f>_xlfn.XLOOKUP(F21,prod_her!$B$2:$B$4,prod_her!$A$2:$A$4,"not found")</f>
        <v>her003</v>
      </c>
      <c r="F21" t="s">
        <v>771</v>
      </c>
    </row>
    <row r="22" spans="1:6" x14ac:dyDescent="0.2">
      <c r="A22" t="s">
        <v>2</v>
      </c>
      <c r="B22" t="s">
        <v>272</v>
      </c>
      <c r="C22" t="str">
        <f>_xlfn.XLOOKUP(D22,ref!$B$2:$B$12,ref!$A$2:$A$12,"not found")</f>
        <v>w006</v>
      </c>
      <c r="D22" t="s">
        <v>72</v>
      </c>
      <c r="E22" t="str">
        <f>_xlfn.XLOOKUP(F22,prod_her!$B$2:$B$4,prod_her!$A$2:$A$4,"not found")</f>
        <v>her003</v>
      </c>
      <c r="F22" t="s">
        <v>771</v>
      </c>
    </row>
    <row r="23" spans="1:6" x14ac:dyDescent="0.2">
      <c r="A23" t="s">
        <v>2</v>
      </c>
      <c r="B23" t="s">
        <v>272</v>
      </c>
      <c r="C23" t="str">
        <f>_xlfn.XLOOKUP(D23,ref!$B$2:$B$12,ref!$A$2:$A$12,"not found")</f>
        <v>w007</v>
      </c>
      <c r="D23" t="s">
        <v>77</v>
      </c>
      <c r="E23" t="str">
        <f>_xlfn.XLOOKUP(F23,prod_her!$B$2:$B$4,prod_her!$A$2:$A$4,"not found")</f>
        <v>her003</v>
      </c>
      <c r="F23" t="s">
        <v>771</v>
      </c>
    </row>
    <row r="24" spans="1:6" x14ac:dyDescent="0.2">
      <c r="A24" t="s">
        <v>2</v>
      </c>
      <c r="B24" t="s">
        <v>272</v>
      </c>
      <c r="C24" t="str">
        <f>_xlfn.XLOOKUP(D24,ref!$B$2:$B$12,ref!$A$2:$A$12,"not found")</f>
        <v>w008</v>
      </c>
      <c r="D24" t="s">
        <v>17</v>
      </c>
      <c r="E24" t="str">
        <f>_xlfn.XLOOKUP(F24,prod_her!$B$2:$B$4,prod_her!$A$2:$A$4,"not found")</f>
        <v>her003</v>
      </c>
      <c r="F24" t="s">
        <v>771</v>
      </c>
    </row>
    <row r="25" spans="1:6" x14ac:dyDescent="0.2">
      <c r="A25" t="s">
        <v>2</v>
      </c>
      <c r="B25" t="s">
        <v>273</v>
      </c>
      <c r="C25" t="str">
        <f>_xlfn.XLOOKUP(D25,ref!$B$2:$B$12,ref!$A$2:$A$12,"not found")</f>
        <v>w005</v>
      </c>
      <c r="D25" t="s">
        <v>65</v>
      </c>
      <c r="E25" t="str">
        <f>_xlfn.XLOOKUP(F25,prod_her!$B$2:$B$4,prod_her!$A$2:$A$4,"not found")</f>
        <v>her003</v>
      </c>
      <c r="F25" t="s">
        <v>771</v>
      </c>
    </row>
    <row r="26" spans="1:6" x14ac:dyDescent="0.2">
      <c r="A26" t="s">
        <v>2</v>
      </c>
      <c r="B26" t="s">
        <v>273</v>
      </c>
      <c r="C26" t="str">
        <f>_xlfn.XLOOKUP(D26,ref!$B$2:$B$12,ref!$A$2:$A$12,"not found")</f>
        <v>w006</v>
      </c>
      <c r="D26" t="s">
        <v>72</v>
      </c>
      <c r="E26" t="str">
        <f>_xlfn.XLOOKUP(F26,prod_her!$B$2:$B$4,prod_her!$A$2:$A$4,"not found")</f>
        <v>her003</v>
      </c>
      <c r="F26" t="s">
        <v>771</v>
      </c>
    </row>
    <row r="27" spans="1:6" x14ac:dyDescent="0.2">
      <c r="A27" t="s">
        <v>2</v>
      </c>
      <c r="B27" t="s">
        <v>273</v>
      </c>
      <c r="C27" t="str">
        <f>_xlfn.XLOOKUP(D27,ref!$B$2:$B$12,ref!$A$2:$A$12,"not found")</f>
        <v>w007</v>
      </c>
      <c r="D27" t="s">
        <v>77</v>
      </c>
      <c r="E27" t="str">
        <f>_xlfn.XLOOKUP(F27,prod_her!$B$2:$B$4,prod_her!$A$2:$A$4,"not found")</f>
        <v>her003</v>
      </c>
      <c r="F27" t="s">
        <v>771</v>
      </c>
    </row>
    <row r="28" spans="1:6" x14ac:dyDescent="0.2">
      <c r="A28" t="s">
        <v>2</v>
      </c>
      <c r="B28" t="s">
        <v>273</v>
      </c>
      <c r="C28" t="str">
        <f>_xlfn.XLOOKUP(D28,ref!$B$2:$B$12,ref!$A$2:$A$12,"not found")</f>
        <v>w008</v>
      </c>
      <c r="D28" t="s">
        <v>17</v>
      </c>
      <c r="E28" t="str">
        <f>_xlfn.XLOOKUP(F28,prod_her!$B$2:$B$4,prod_her!$A$2:$A$4,"not found")</f>
        <v>her003</v>
      </c>
      <c r="F28" t="s">
        <v>771</v>
      </c>
    </row>
  </sheetData>
  <autoFilter ref="A1:F86" xr:uid="{E3D368BE-9DF0-1A41-8CF6-E1F32D0B1C16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640E01-4EC9-8240-8C2D-92AD27E43EC8}">
          <x14:formula1>
            <xm:f>ref!$B$2:$B$17</xm:f>
          </x14:formula1>
          <xm:sqref>D87:F109 D78:F81 F48:F63 D69:F72 D2:D63 E29:E63</xm:sqref>
        </x14:dataValidation>
        <x14:dataValidation type="list" allowBlank="1" showInputMessage="1" showErrorMessage="1" xr:uid="{D4020CC2-D43A-2E4C-AD39-237DCB25458B}">
          <x14:formula1>
            <xm:f>prod_her!$B$2:$B$4</xm:f>
          </x14:formula1>
          <xm:sqref>F2:F28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794A-5FA1-4646-81AA-07F6C43DAC20}">
  <dimension ref="A1:H4"/>
  <sheetViews>
    <sheetView workbookViewId="0">
      <selection activeCell="F29" sqref="F29"/>
    </sheetView>
  </sheetViews>
  <sheetFormatPr baseColWidth="10" defaultRowHeight="16" x14ac:dyDescent="0.2"/>
  <sheetData>
    <row r="1" spans="1:8" x14ac:dyDescent="0.2">
      <c r="A1" t="s">
        <v>823</v>
      </c>
      <c r="B1" t="s">
        <v>761</v>
      </c>
      <c r="C1" t="s">
        <v>762</v>
      </c>
      <c r="D1" t="s">
        <v>28</v>
      </c>
      <c r="E1" t="s">
        <v>759</v>
      </c>
      <c r="F1" t="s">
        <v>760</v>
      </c>
      <c r="G1" t="s">
        <v>192</v>
      </c>
      <c r="H1" t="s">
        <v>814</v>
      </c>
    </row>
    <row r="2" spans="1:8" x14ac:dyDescent="0.2">
      <c r="A2" t="s">
        <v>815</v>
      </c>
      <c r="B2" t="s">
        <v>772</v>
      </c>
      <c r="C2" t="s">
        <v>764</v>
      </c>
      <c r="D2" t="s">
        <v>775</v>
      </c>
      <c r="E2" t="s">
        <v>776</v>
      </c>
      <c r="F2" t="s">
        <v>777</v>
      </c>
      <c r="G2" s="1" t="s">
        <v>778</v>
      </c>
      <c r="H2" t="s">
        <v>812</v>
      </c>
    </row>
    <row r="3" spans="1:8" x14ac:dyDescent="0.2">
      <c r="A3" t="s">
        <v>816</v>
      </c>
      <c r="B3" t="s">
        <v>773</v>
      </c>
      <c r="C3" t="s">
        <v>764</v>
      </c>
      <c r="D3" t="s">
        <v>657</v>
      </c>
      <c r="E3" t="s">
        <v>779</v>
      </c>
      <c r="F3" t="s">
        <v>766</v>
      </c>
      <c r="G3" s="1" t="s">
        <v>780</v>
      </c>
      <c r="H3" t="s">
        <v>811</v>
      </c>
    </row>
    <row r="4" spans="1:8" x14ac:dyDescent="0.2">
      <c r="A4" t="s">
        <v>817</v>
      </c>
      <c r="B4" t="s">
        <v>774</v>
      </c>
      <c r="C4" t="s">
        <v>764</v>
      </c>
      <c r="D4" t="s">
        <v>781</v>
      </c>
      <c r="E4" t="s">
        <v>782</v>
      </c>
      <c r="F4" t="s">
        <v>783</v>
      </c>
      <c r="G4" s="1" t="s">
        <v>784</v>
      </c>
      <c r="H4" t="s">
        <v>811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7A5D9C-6F5F-7044-882F-80BF58B917B1}">
          <x14:formula1>
            <xm:f>ref!$A$17:$A$19</xm:f>
          </x14:formula1>
          <xm:sqref>H2:H4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D924-F26D-0C43-B348-A80A67AEC297}">
  <dimension ref="A1:J14"/>
  <sheetViews>
    <sheetView zoomScale="140" zoomScaleNormal="140" workbookViewId="0">
      <selection activeCell="D25" sqref="D25"/>
    </sheetView>
  </sheetViews>
  <sheetFormatPr baseColWidth="10" defaultRowHeight="16" x14ac:dyDescent="0.2"/>
  <cols>
    <col min="3" max="3" width="18.6640625" bestFit="1" customWidth="1"/>
    <col min="4" max="4" width="18.6640625" customWidth="1"/>
    <col min="5" max="5" width="16.83203125" customWidth="1"/>
    <col min="6" max="6" width="14.33203125" customWidth="1"/>
    <col min="7" max="7" width="18.6640625" bestFit="1" customWidth="1"/>
    <col min="8" max="8" width="12.6640625" bestFit="1" customWidth="1"/>
    <col min="9" max="9" width="15.6640625" bestFit="1" customWidth="1"/>
  </cols>
  <sheetData>
    <row r="1" spans="1:10" x14ac:dyDescent="0.2">
      <c r="A1" t="s">
        <v>0</v>
      </c>
      <c r="B1" t="s">
        <v>6</v>
      </c>
      <c r="C1" t="s">
        <v>8</v>
      </c>
      <c r="D1" t="s">
        <v>823</v>
      </c>
      <c r="E1" t="s">
        <v>761</v>
      </c>
    </row>
    <row r="2" spans="1:10" x14ac:dyDescent="0.2">
      <c r="A2" t="s">
        <v>2</v>
      </c>
      <c r="B2" t="str">
        <f>_xlfn.XLOOKUP(C2,crop_pest!$D$2:$D$13,crop_pest!$B$2:$B$13,"not found")</f>
        <v>p001</v>
      </c>
      <c r="C2" t="s">
        <v>41</v>
      </c>
      <c r="D2" t="str">
        <f>_xlfn.XLOOKUP(E2,prod_ins!$B$2:$B$4,prod_ins!$A$2:$A$4,"not found")</f>
        <v>ins001</v>
      </c>
      <c r="E2" t="s">
        <v>772</v>
      </c>
      <c r="J2" s="1"/>
    </row>
    <row r="3" spans="1:10" x14ac:dyDescent="0.2">
      <c r="A3" t="s">
        <v>2</v>
      </c>
      <c r="B3" t="str">
        <f>_xlfn.XLOOKUP(C3,crop_pest!$D$2:$D$13,crop_pest!$B$2:$B$13,"not found")</f>
        <v>p009</v>
      </c>
      <c r="C3" t="s">
        <v>110</v>
      </c>
      <c r="D3" t="str">
        <f>_xlfn.XLOOKUP(E3,prod_ins!$B$2:$B$4,prod_ins!$A$2:$A$4,"not found")</f>
        <v>ins001</v>
      </c>
      <c r="E3" t="s">
        <v>772</v>
      </c>
      <c r="J3" s="1"/>
    </row>
    <row r="4" spans="1:10" x14ac:dyDescent="0.2">
      <c r="A4" t="s">
        <v>2</v>
      </c>
      <c r="B4" t="str">
        <f>_xlfn.XLOOKUP(C4,crop_pest!$D$2:$D$13,crop_pest!$B$2:$B$13,"not found")</f>
        <v>p010</v>
      </c>
      <c r="C4" t="s">
        <v>112</v>
      </c>
      <c r="D4" t="str">
        <f>_xlfn.XLOOKUP(E4,prod_ins!$B$2:$B$4,prod_ins!$A$2:$A$4,"not found")</f>
        <v>ins001</v>
      </c>
      <c r="E4" t="s">
        <v>772</v>
      </c>
      <c r="J4" s="1"/>
    </row>
    <row r="5" spans="1:10" x14ac:dyDescent="0.2">
      <c r="A5" t="s">
        <v>2</v>
      </c>
      <c r="B5" t="str">
        <f>_xlfn.XLOOKUP(C5,crop_pest!$D$2:$D$13,crop_pest!$B$2:$B$13,"not found")</f>
        <v>p004</v>
      </c>
      <c r="C5" t="s">
        <v>106</v>
      </c>
      <c r="D5" t="str">
        <f>_xlfn.XLOOKUP(E5,prod_ins!$B$2:$B$4,prod_ins!$A$2:$A$4,"not found")</f>
        <v>ins001</v>
      </c>
      <c r="E5" t="s">
        <v>772</v>
      </c>
      <c r="J5" s="1"/>
    </row>
    <row r="6" spans="1:10" x14ac:dyDescent="0.2">
      <c r="A6" t="s">
        <v>2</v>
      </c>
      <c r="B6" t="str">
        <f>_xlfn.XLOOKUP(C6,crop_pest!$D$2:$D$13,crop_pest!$B$2:$B$13,"not found")</f>
        <v>p012</v>
      </c>
      <c r="C6" t="s">
        <v>172</v>
      </c>
      <c r="D6" t="str">
        <f>_xlfn.XLOOKUP(E6,prod_ins!$B$2:$B$4,prod_ins!$A$2:$A$4,"not found")</f>
        <v>ins001</v>
      </c>
      <c r="E6" t="s">
        <v>772</v>
      </c>
      <c r="J6" s="1"/>
    </row>
    <row r="7" spans="1:10" x14ac:dyDescent="0.2">
      <c r="A7" t="s">
        <v>2</v>
      </c>
      <c r="B7" t="str">
        <f>_xlfn.XLOOKUP(C7,crop_pest!$D$2:$D$13,crop_pest!$B$2:$B$13,"not found")</f>
        <v>p003</v>
      </c>
      <c r="C7" t="s">
        <v>101</v>
      </c>
      <c r="D7" t="str">
        <f>_xlfn.XLOOKUP(E7,prod_ins!$B$2:$B$4,prod_ins!$A$2:$A$4,"not found")</f>
        <v>ins002</v>
      </c>
      <c r="E7" t="s">
        <v>773</v>
      </c>
      <c r="J7" s="1"/>
    </row>
    <row r="8" spans="1:10" x14ac:dyDescent="0.2">
      <c r="A8" t="s">
        <v>2</v>
      </c>
      <c r="B8" t="str">
        <f>_xlfn.XLOOKUP(C8,crop_pest!$D$2:$D$13,crop_pest!$B$2:$B$13,"not found")</f>
        <v>p007</v>
      </c>
      <c r="C8" t="s">
        <v>45</v>
      </c>
      <c r="D8" t="str">
        <f>_xlfn.XLOOKUP(E8,prod_ins!$B$2:$B$4,prod_ins!$A$2:$A$4,"not found")</f>
        <v>ins002</v>
      </c>
      <c r="E8" t="s">
        <v>773</v>
      </c>
      <c r="J8" s="1"/>
    </row>
    <row r="9" spans="1:10" x14ac:dyDescent="0.2">
      <c r="A9" t="s">
        <v>2</v>
      </c>
      <c r="B9" t="str">
        <f>_xlfn.XLOOKUP(C9,crop_pest!$D$2:$D$13,crop_pest!$B$2:$B$13,"not found")</f>
        <v>p006</v>
      </c>
      <c r="C9" t="s">
        <v>46</v>
      </c>
      <c r="D9" t="str">
        <f>_xlfn.XLOOKUP(E9,prod_ins!$B$2:$B$4,prod_ins!$A$2:$A$4,"not found")</f>
        <v>ins002</v>
      </c>
      <c r="E9" t="s">
        <v>773</v>
      </c>
      <c r="J9" s="1"/>
    </row>
    <row r="10" spans="1:10" x14ac:dyDescent="0.2">
      <c r="A10" t="s">
        <v>2</v>
      </c>
      <c r="B10" t="str">
        <f>_xlfn.XLOOKUP(C10,crop_pest!$D$2:$D$13,crop_pest!$B$2:$B$13,"not found")</f>
        <v>p004</v>
      </c>
      <c r="C10" t="s">
        <v>106</v>
      </c>
      <c r="D10" t="str">
        <f>_xlfn.XLOOKUP(E10,prod_ins!$B$2:$B$4,prod_ins!$A$2:$A$4,"not found")</f>
        <v>ins002</v>
      </c>
      <c r="E10" t="s">
        <v>773</v>
      </c>
      <c r="J10" s="1"/>
    </row>
    <row r="11" spans="1:10" x14ac:dyDescent="0.2">
      <c r="A11" t="s">
        <v>2</v>
      </c>
      <c r="B11" t="str">
        <f>_xlfn.XLOOKUP(C11,crop_pest!$D$2:$D$13,crop_pest!$B$2:$B$13,"not found")</f>
        <v>p003</v>
      </c>
      <c r="C11" t="s">
        <v>101</v>
      </c>
      <c r="D11" t="str">
        <f>_xlfn.XLOOKUP(E11,prod_ins!$B$2:$B$4,prod_ins!$A$2:$A$4,"not found")</f>
        <v>ins003</v>
      </c>
      <c r="E11" t="s">
        <v>774</v>
      </c>
      <c r="J11" s="1"/>
    </row>
    <row r="12" spans="1:10" x14ac:dyDescent="0.2">
      <c r="A12" t="s">
        <v>2</v>
      </c>
      <c r="B12" t="str">
        <f>_xlfn.XLOOKUP(C12,crop_pest!$D$2:$D$13,crop_pest!$B$2:$B$13,"not found")</f>
        <v>p006</v>
      </c>
      <c r="C12" t="s">
        <v>46</v>
      </c>
      <c r="D12" t="str">
        <f>_xlfn.XLOOKUP(E12,prod_ins!$B$2:$B$4,prod_ins!$A$2:$A$4,"not found")</f>
        <v>ins003</v>
      </c>
      <c r="E12" t="s">
        <v>774</v>
      </c>
      <c r="J12" s="1"/>
    </row>
    <row r="13" spans="1:10" x14ac:dyDescent="0.2">
      <c r="A13" t="s">
        <v>2</v>
      </c>
      <c r="B13" t="str">
        <f>_xlfn.XLOOKUP(C13,crop_pest!$D$2:$D$13,crop_pest!$B$2:$B$13,"not found")</f>
        <v>p007</v>
      </c>
      <c r="C13" t="s">
        <v>45</v>
      </c>
      <c r="D13" t="str">
        <f>_xlfn.XLOOKUP(E13,prod_ins!$B$2:$B$4,prod_ins!$A$2:$A$4,"not found")</f>
        <v>ins003</v>
      </c>
      <c r="E13" t="s">
        <v>774</v>
      </c>
      <c r="J13" s="1"/>
    </row>
    <row r="14" spans="1:10" x14ac:dyDescent="0.2">
      <c r="A14" t="s">
        <v>2</v>
      </c>
      <c r="B14" t="str">
        <f>_xlfn.XLOOKUP(C14,crop_pest!$D$2:$D$13,crop_pest!$B$2:$B$13,"not found")</f>
        <v>p011</v>
      </c>
      <c r="C14" t="s">
        <v>114</v>
      </c>
      <c r="D14" t="str">
        <f>_xlfn.XLOOKUP(E14,prod_ins!$B$2:$B$4,prod_ins!$A$2:$A$4,"not found")</f>
        <v>ins003</v>
      </c>
      <c r="E14" t="s">
        <v>774</v>
      </c>
      <c r="J14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8949C0-DCAD-3A43-8CED-DC7D86BCB362}">
          <x14:formula1>
            <xm:f>ref!$O$2:$O$479</xm:f>
          </x14:formula1>
          <xm:sqref>G57:I83</xm:sqref>
        </x14:dataValidation>
        <x14:dataValidation type="list" allowBlank="1" showInputMessage="1" showErrorMessage="1" xr:uid="{E354B6DA-D05D-B645-B012-5E1E4AD0A847}">
          <x14:formula1>
            <xm:f>prod_ins!$B$2:$B$4</xm:f>
          </x14:formula1>
          <xm:sqref>E2:E14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DB74-B9D2-BD48-A768-A8A16773930D}">
  <dimension ref="A1:H5"/>
  <sheetViews>
    <sheetView tabSelected="1" workbookViewId="0">
      <selection activeCell="H29" sqref="H29"/>
    </sheetView>
  </sheetViews>
  <sheetFormatPr baseColWidth="10" defaultRowHeight="16" x14ac:dyDescent="0.2"/>
  <cols>
    <col min="4" max="4" width="16.33203125" customWidth="1"/>
  </cols>
  <sheetData>
    <row r="1" spans="1:8" x14ac:dyDescent="0.2">
      <c r="A1" t="s">
        <v>824</v>
      </c>
      <c r="B1" t="s">
        <v>761</v>
      </c>
      <c r="C1" t="s">
        <v>762</v>
      </c>
      <c r="D1" t="s">
        <v>28</v>
      </c>
      <c r="E1" t="s">
        <v>759</v>
      </c>
      <c r="F1" t="s">
        <v>760</v>
      </c>
      <c r="G1" t="s">
        <v>192</v>
      </c>
      <c r="H1" t="s">
        <v>814</v>
      </c>
    </row>
    <row r="2" spans="1:8" x14ac:dyDescent="0.2">
      <c r="A2" t="s">
        <v>818</v>
      </c>
      <c r="B2" t="s">
        <v>785</v>
      </c>
      <c r="C2" t="s">
        <v>764</v>
      </c>
      <c r="D2" t="s">
        <v>674</v>
      </c>
      <c r="E2" t="s">
        <v>786</v>
      </c>
      <c r="F2" t="s">
        <v>766</v>
      </c>
      <c r="G2" s="1" t="s">
        <v>787</v>
      </c>
      <c r="H2" t="s">
        <v>811</v>
      </c>
    </row>
    <row r="3" spans="1:8" x14ac:dyDescent="0.2">
      <c r="A3" t="s">
        <v>819</v>
      </c>
      <c r="B3" t="s">
        <v>788</v>
      </c>
      <c r="C3" t="s">
        <v>764</v>
      </c>
      <c r="D3" t="s">
        <v>729</v>
      </c>
      <c r="E3" t="s">
        <v>789</v>
      </c>
      <c r="F3" t="s">
        <v>777</v>
      </c>
      <c r="G3" s="1" t="s">
        <v>790</v>
      </c>
      <c r="H3" t="s">
        <v>810</v>
      </c>
    </row>
    <row r="4" spans="1:8" x14ac:dyDescent="0.2">
      <c r="A4" t="s">
        <v>820</v>
      </c>
      <c r="B4" t="s">
        <v>791</v>
      </c>
      <c r="C4" t="s">
        <v>764</v>
      </c>
      <c r="D4" t="s">
        <v>792</v>
      </c>
      <c r="E4" t="s">
        <v>793</v>
      </c>
      <c r="F4" t="s">
        <v>777</v>
      </c>
      <c r="G4" s="1" t="s">
        <v>193</v>
      </c>
      <c r="H4" t="s">
        <v>810</v>
      </c>
    </row>
    <row r="5" spans="1:8" x14ac:dyDescent="0.2">
      <c r="A5" t="s">
        <v>821</v>
      </c>
      <c r="B5" t="s">
        <v>794</v>
      </c>
      <c r="C5" t="s">
        <v>764</v>
      </c>
      <c r="D5" t="s">
        <v>795</v>
      </c>
      <c r="E5" t="s">
        <v>796</v>
      </c>
      <c r="F5" t="s">
        <v>797</v>
      </c>
      <c r="G5" s="1" t="s">
        <v>798</v>
      </c>
      <c r="H5" t="s">
        <v>810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9D4934-2FE8-4F4C-BEBC-EFA772CF9F0E}">
          <x14:formula1>
            <xm:f>ref!$A$17:$A$19</xm:f>
          </x14:formula1>
          <xm:sqref>H2:H5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4F48-50C2-9F42-A6D8-A161023B7363}">
  <dimension ref="A1:E19"/>
  <sheetViews>
    <sheetView zoomScale="130" zoomScaleNormal="130" workbookViewId="0">
      <selection activeCell="H10" sqref="H10"/>
    </sheetView>
  </sheetViews>
  <sheetFormatPr baseColWidth="10" defaultRowHeight="16" x14ac:dyDescent="0.2"/>
  <cols>
    <col min="2" max="2" width="9.83203125" bestFit="1" customWidth="1"/>
    <col min="3" max="4" width="17.83203125" customWidth="1"/>
    <col min="5" max="5" width="11.1640625" bestFit="1" customWidth="1"/>
  </cols>
  <sheetData>
    <row r="1" spans="1:5" x14ac:dyDescent="0.2">
      <c r="A1" t="s">
        <v>0</v>
      </c>
      <c r="B1" t="s">
        <v>18</v>
      </c>
      <c r="C1" t="s">
        <v>20</v>
      </c>
      <c r="D1" t="s">
        <v>824</v>
      </c>
      <c r="E1" t="s">
        <v>761</v>
      </c>
    </row>
    <row r="2" spans="1:5" x14ac:dyDescent="0.2">
      <c r="A2" t="s">
        <v>2</v>
      </c>
      <c r="B2" t="str">
        <f>_xlfn.XLOOKUP(C2,ref!$H$2:$H$19,ref!$G$2:$G$19,"not found")</f>
        <v>d001</v>
      </c>
      <c r="C2" t="s">
        <v>48</v>
      </c>
      <c r="D2" t="str">
        <f>_xlfn.XLOOKUP(E2,prod_fun!$B$2:$B$5,prod_fun!$A$2:$A$5,"not found")</f>
        <v>fun001</v>
      </c>
      <c r="E2" t="s">
        <v>785</v>
      </c>
    </row>
    <row r="3" spans="1:5" x14ac:dyDescent="0.2">
      <c r="A3" t="s">
        <v>2</v>
      </c>
      <c r="B3" t="str">
        <f>_xlfn.XLOOKUP(C3,ref!$H$2:$H$19,ref!$G$2:$G$19,"not found")</f>
        <v>d002</v>
      </c>
      <c r="C3" t="s">
        <v>133</v>
      </c>
      <c r="D3" t="str">
        <f>_xlfn.XLOOKUP(E3,prod_fun!$B$2:$B$5,prod_fun!$A$2:$A$5,"not found")</f>
        <v>fun001</v>
      </c>
      <c r="E3" t="s">
        <v>785</v>
      </c>
    </row>
    <row r="4" spans="1:5" x14ac:dyDescent="0.2">
      <c r="A4" t="s">
        <v>2</v>
      </c>
      <c r="B4" t="str">
        <f>_xlfn.XLOOKUP(C4,ref!$H$2:$H$19,ref!$G$2:$G$19,"not found")</f>
        <v>d003</v>
      </c>
      <c r="C4" t="s">
        <v>134</v>
      </c>
      <c r="D4" t="str">
        <f>_xlfn.XLOOKUP(E4,prod_fun!$B$2:$B$5,prod_fun!$A$2:$A$5,"not found")</f>
        <v>fun001</v>
      </c>
      <c r="E4" t="s">
        <v>785</v>
      </c>
    </row>
    <row r="5" spans="1:5" x14ac:dyDescent="0.2">
      <c r="A5" t="s">
        <v>2</v>
      </c>
      <c r="B5" t="str">
        <f>_xlfn.XLOOKUP(C5,ref!$H$2:$H$19,ref!$G$2:$G$19,"not found")</f>
        <v>d004</v>
      </c>
      <c r="C5" t="s">
        <v>135</v>
      </c>
      <c r="D5" t="str">
        <f>_xlfn.XLOOKUP(E5,prod_fun!$B$2:$B$5,prod_fun!$A$2:$A$5,"not found")</f>
        <v>fun001</v>
      </c>
      <c r="E5" t="s">
        <v>785</v>
      </c>
    </row>
    <row r="6" spans="1:5" x14ac:dyDescent="0.2">
      <c r="A6" t="s">
        <v>2</v>
      </c>
      <c r="B6" t="str">
        <f>_xlfn.XLOOKUP(C6,ref!$H$2:$H$19,ref!$G$2:$G$19,"not found")</f>
        <v>d005</v>
      </c>
      <c r="C6" t="s">
        <v>49</v>
      </c>
      <c r="D6" t="str">
        <f>_xlfn.XLOOKUP(E6,prod_fun!$B$2:$B$5,prod_fun!$A$2:$A$5,"not found")</f>
        <v>fun001</v>
      </c>
      <c r="E6" t="s">
        <v>785</v>
      </c>
    </row>
    <row r="7" spans="1:5" x14ac:dyDescent="0.2">
      <c r="A7" t="s">
        <v>2</v>
      </c>
      <c r="B7" t="str">
        <f>_xlfn.XLOOKUP(C7,ref!$H$2:$H$19,ref!$G$2:$G$19,"not found")</f>
        <v>d006</v>
      </c>
      <c r="C7" t="s">
        <v>136</v>
      </c>
      <c r="D7" t="str">
        <f>_xlfn.XLOOKUP(E7,prod_fun!$B$2:$B$5,prod_fun!$A$2:$A$5,"not found")</f>
        <v>fun001</v>
      </c>
      <c r="E7" t="s">
        <v>785</v>
      </c>
    </row>
    <row r="8" spans="1:5" x14ac:dyDescent="0.2">
      <c r="A8" t="s">
        <v>2</v>
      </c>
      <c r="B8" t="str">
        <f>_xlfn.XLOOKUP(C8,ref!$H$2:$H$19,ref!$G$2:$G$19,"not found")</f>
        <v>d007</v>
      </c>
      <c r="C8" t="s">
        <v>137</v>
      </c>
      <c r="D8" t="str">
        <f>_xlfn.XLOOKUP(E8,prod_fun!$B$2:$B$5,prod_fun!$A$2:$A$5,"not found")</f>
        <v>fun001</v>
      </c>
      <c r="E8" t="s">
        <v>785</v>
      </c>
    </row>
    <row r="9" spans="1:5" x14ac:dyDescent="0.2">
      <c r="A9" t="s">
        <v>2</v>
      </c>
      <c r="B9" t="str">
        <f>_xlfn.XLOOKUP(C9,ref!$H$2:$H$19,ref!$G$2:$G$19,"not found")</f>
        <v>d001</v>
      </c>
      <c r="C9" t="s">
        <v>48</v>
      </c>
      <c r="D9" t="str">
        <f>_xlfn.XLOOKUP(E9,prod_fun!$B$2:$B$5,prod_fun!$A$2:$A$5,"not found")</f>
        <v>fun002</v>
      </c>
      <c r="E9" t="s">
        <v>788</v>
      </c>
    </row>
    <row r="10" spans="1:5" x14ac:dyDescent="0.2">
      <c r="A10" t="s">
        <v>2</v>
      </c>
      <c r="B10" t="str">
        <f>_xlfn.XLOOKUP(C10,ref!$H$2:$H$19,ref!$G$2:$G$19,"not found")</f>
        <v>d002</v>
      </c>
      <c r="C10" t="s">
        <v>133</v>
      </c>
      <c r="D10" t="str">
        <f>_xlfn.XLOOKUP(E10,prod_fun!$B$2:$B$5,prod_fun!$A$2:$A$5,"not found")</f>
        <v>fun002</v>
      </c>
      <c r="E10" t="s">
        <v>788</v>
      </c>
    </row>
    <row r="11" spans="1:5" x14ac:dyDescent="0.2">
      <c r="A11" t="s">
        <v>2</v>
      </c>
      <c r="B11" t="str">
        <f>_xlfn.XLOOKUP(C11,ref!$H$2:$H$19,ref!$G$2:$G$19,"not found")</f>
        <v>d003</v>
      </c>
      <c r="C11" t="s">
        <v>134</v>
      </c>
      <c r="D11" t="str">
        <f>_xlfn.XLOOKUP(E11,prod_fun!$B$2:$B$5,prod_fun!$A$2:$A$5,"not found")</f>
        <v>fun002</v>
      </c>
      <c r="E11" t="s">
        <v>788</v>
      </c>
    </row>
    <row r="12" spans="1:5" x14ac:dyDescent="0.2">
      <c r="A12" t="s">
        <v>2</v>
      </c>
      <c r="B12" t="str">
        <f>_xlfn.XLOOKUP(C12,ref!$H$2:$H$19,ref!$G$2:$G$19,"not found")</f>
        <v>d004</v>
      </c>
      <c r="C12" t="s">
        <v>135</v>
      </c>
      <c r="D12" t="str">
        <f>_xlfn.XLOOKUP(E12,prod_fun!$B$2:$B$5,prod_fun!$A$2:$A$5,"not found")</f>
        <v>fun002</v>
      </c>
      <c r="E12" t="s">
        <v>788</v>
      </c>
    </row>
    <row r="13" spans="1:5" x14ac:dyDescent="0.2">
      <c r="A13" t="s">
        <v>2</v>
      </c>
      <c r="B13" t="str">
        <f>_xlfn.XLOOKUP(C13,ref!$H$2:$H$19,ref!$G$2:$G$19,"not found")</f>
        <v>d005</v>
      </c>
      <c r="C13" t="s">
        <v>49</v>
      </c>
      <c r="D13" t="str">
        <f>_xlfn.XLOOKUP(E13,prod_fun!$B$2:$B$5,prod_fun!$A$2:$A$5,"not found")</f>
        <v>fun002</v>
      </c>
      <c r="E13" t="s">
        <v>788</v>
      </c>
    </row>
    <row r="14" spans="1:5" x14ac:dyDescent="0.2">
      <c r="A14" t="s">
        <v>2</v>
      </c>
      <c r="B14" t="str">
        <f>_xlfn.XLOOKUP(C14,ref!$H$2:$H$19,ref!$G$2:$G$19,"not found")</f>
        <v>d006</v>
      </c>
      <c r="C14" t="s">
        <v>136</v>
      </c>
      <c r="D14" t="str">
        <f>_xlfn.XLOOKUP(E14,prod_fun!$B$2:$B$5,prod_fun!$A$2:$A$5,"not found")</f>
        <v>fun002</v>
      </c>
      <c r="E14" t="s">
        <v>788</v>
      </c>
    </row>
    <row r="15" spans="1:5" x14ac:dyDescent="0.2">
      <c r="A15" t="s">
        <v>2</v>
      </c>
      <c r="B15" t="str">
        <f>_xlfn.XLOOKUP(C15,ref!$H$2:$H$19,ref!$G$2:$G$19,"not found")</f>
        <v>d007</v>
      </c>
      <c r="C15" t="s">
        <v>137</v>
      </c>
      <c r="D15" t="str">
        <f>_xlfn.XLOOKUP(E15,prod_fun!$B$2:$B$5,prod_fun!$A$2:$A$5,"not found")</f>
        <v>fun002</v>
      </c>
      <c r="E15" t="s">
        <v>788</v>
      </c>
    </row>
    <row r="16" spans="1:5" x14ac:dyDescent="0.2">
      <c r="A16" t="s">
        <v>2</v>
      </c>
      <c r="B16" t="str">
        <f>_xlfn.XLOOKUP(C16,ref!$H$2:$H$19,ref!$G$2:$G$19,"not found")</f>
        <v>d008</v>
      </c>
      <c r="C16" t="s">
        <v>50</v>
      </c>
      <c r="D16" t="str">
        <f>_xlfn.XLOOKUP(E16,prod_fun!$B$2:$B$5,prod_fun!$A$2:$A$5,"not found")</f>
        <v>fun003</v>
      </c>
      <c r="E16" t="s">
        <v>791</v>
      </c>
    </row>
    <row r="17" spans="1:5" x14ac:dyDescent="0.2">
      <c r="A17" t="s">
        <v>2</v>
      </c>
      <c r="B17" t="str">
        <f>_xlfn.XLOOKUP(C17,ref!$H$2:$H$19,ref!$G$2:$G$19,"not found")</f>
        <v>d009</v>
      </c>
      <c r="C17" t="s">
        <v>138</v>
      </c>
      <c r="D17" t="str">
        <f>_xlfn.XLOOKUP(E17,prod_fun!$B$2:$B$5,prod_fun!$A$2:$A$5,"not found")</f>
        <v>fun003</v>
      </c>
      <c r="E17" t="s">
        <v>791</v>
      </c>
    </row>
    <row r="18" spans="1:5" x14ac:dyDescent="0.2">
      <c r="A18" t="s">
        <v>2</v>
      </c>
      <c r="B18" t="str">
        <f>_xlfn.XLOOKUP(C18,ref!$H$2:$H$19,ref!$G$2:$G$19,"not found")</f>
        <v>d008</v>
      </c>
      <c r="C18" t="s">
        <v>50</v>
      </c>
      <c r="D18" t="str">
        <f>_xlfn.XLOOKUP(E18,prod_fun!$B$2:$B$5,prod_fun!$A$2:$A$5,"not found")</f>
        <v>fun004</v>
      </c>
      <c r="E18" t="s">
        <v>794</v>
      </c>
    </row>
    <row r="19" spans="1:5" x14ac:dyDescent="0.2">
      <c r="A19" t="s">
        <v>2</v>
      </c>
      <c r="B19" t="str">
        <f>_xlfn.XLOOKUP(C19,ref!$H$2:$H$19,ref!$G$2:$G$19,"not found")</f>
        <v>d009</v>
      </c>
      <c r="C19" t="s">
        <v>138</v>
      </c>
      <c r="D19" t="str">
        <f>_xlfn.XLOOKUP(E19,prod_fun!$B$2:$B$5,prod_fun!$A$2:$A$5,"not found")</f>
        <v>fun004</v>
      </c>
      <c r="E19" t="s">
        <v>794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34A2-6EAC-2F41-B929-EF3CFA13F04D}">
  <dimension ref="A1:D16"/>
  <sheetViews>
    <sheetView workbookViewId="0">
      <selection activeCell="C9" sqref="C9"/>
    </sheetView>
  </sheetViews>
  <sheetFormatPr baseColWidth="10" defaultRowHeight="16" x14ac:dyDescent="0.2"/>
  <sheetData>
    <row r="1" spans="1:4" x14ac:dyDescent="0.2">
      <c r="A1" t="s">
        <v>825</v>
      </c>
      <c r="B1" s="6" t="s">
        <v>154</v>
      </c>
      <c r="C1" s="6" t="s">
        <v>153</v>
      </c>
      <c r="D1" t="s">
        <v>814</v>
      </c>
    </row>
    <row r="2" spans="1:4" x14ac:dyDescent="0.2">
      <c r="A2" t="s">
        <v>826</v>
      </c>
      <c r="B2" s="6" t="s">
        <v>155</v>
      </c>
      <c r="C2" s="7" t="s">
        <v>170</v>
      </c>
      <c r="D2" t="s">
        <v>810</v>
      </c>
    </row>
    <row r="3" spans="1:4" x14ac:dyDescent="0.2">
      <c r="A3" t="s">
        <v>827</v>
      </c>
      <c r="B3" s="6" t="s">
        <v>155</v>
      </c>
      <c r="C3" s="7" t="s">
        <v>35</v>
      </c>
      <c r="D3" t="s">
        <v>810</v>
      </c>
    </row>
    <row r="4" spans="1:4" x14ac:dyDescent="0.2">
      <c r="A4" t="s">
        <v>828</v>
      </c>
      <c r="B4" s="6" t="s">
        <v>155</v>
      </c>
      <c r="C4" s="6" t="s">
        <v>34</v>
      </c>
      <c r="D4" t="s">
        <v>810</v>
      </c>
    </row>
    <row r="5" spans="1:4" x14ac:dyDescent="0.2">
      <c r="A5" t="s">
        <v>829</v>
      </c>
      <c r="B5" s="6" t="s">
        <v>155</v>
      </c>
      <c r="C5" s="7" t="s">
        <v>171</v>
      </c>
      <c r="D5" t="s">
        <v>810</v>
      </c>
    </row>
    <row r="6" spans="1:4" x14ac:dyDescent="0.2">
      <c r="A6" t="s">
        <v>830</v>
      </c>
      <c r="B6" s="6" t="s">
        <v>155</v>
      </c>
      <c r="C6" s="7" t="s">
        <v>157</v>
      </c>
      <c r="D6" t="s">
        <v>810</v>
      </c>
    </row>
    <row r="7" spans="1:4" x14ac:dyDescent="0.2">
      <c r="A7" t="s">
        <v>831</v>
      </c>
      <c r="B7" s="6" t="s">
        <v>156</v>
      </c>
      <c r="C7" s="7" t="s">
        <v>157</v>
      </c>
      <c r="D7" t="s">
        <v>810</v>
      </c>
    </row>
    <row r="8" spans="1:4" x14ac:dyDescent="0.2">
      <c r="A8" t="s">
        <v>832</v>
      </c>
      <c r="B8" s="6" t="s">
        <v>158</v>
      </c>
      <c r="C8" s="7" t="s">
        <v>34</v>
      </c>
      <c r="D8" t="s">
        <v>810</v>
      </c>
    </row>
    <row r="9" spans="1:4" x14ac:dyDescent="0.2">
      <c r="A9" t="s">
        <v>833</v>
      </c>
      <c r="B9" s="6" t="s">
        <v>158</v>
      </c>
      <c r="C9" s="7" t="s">
        <v>36</v>
      </c>
      <c r="D9" t="s">
        <v>810</v>
      </c>
    </row>
    <row r="10" spans="1:4" x14ac:dyDescent="0.2">
      <c r="A10" t="s">
        <v>834</v>
      </c>
      <c r="B10" s="6" t="s">
        <v>158</v>
      </c>
      <c r="C10" s="7" t="s">
        <v>159</v>
      </c>
      <c r="D10" t="s">
        <v>810</v>
      </c>
    </row>
    <row r="11" spans="1:4" x14ac:dyDescent="0.2">
      <c r="A11" t="s">
        <v>835</v>
      </c>
      <c r="B11" s="6" t="s">
        <v>160</v>
      </c>
      <c r="C11" s="7" t="s">
        <v>161</v>
      </c>
      <c r="D11" t="s">
        <v>810</v>
      </c>
    </row>
    <row r="12" spans="1:4" x14ac:dyDescent="0.2">
      <c r="A12" t="s">
        <v>836</v>
      </c>
      <c r="B12" s="6" t="s">
        <v>162</v>
      </c>
      <c r="C12" s="7" t="s">
        <v>163</v>
      </c>
      <c r="D12" t="s">
        <v>810</v>
      </c>
    </row>
    <row r="13" spans="1:4" x14ac:dyDescent="0.2">
      <c r="A13" t="s">
        <v>837</v>
      </c>
      <c r="B13" s="6" t="s">
        <v>166</v>
      </c>
      <c r="C13" s="7" t="s">
        <v>164</v>
      </c>
      <c r="D13" t="s">
        <v>810</v>
      </c>
    </row>
    <row r="14" spans="1:4" x14ac:dyDescent="0.2">
      <c r="A14" t="s">
        <v>838</v>
      </c>
      <c r="B14" s="6" t="s">
        <v>167</v>
      </c>
      <c r="C14" s="7" t="s">
        <v>165</v>
      </c>
      <c r="D14" t="s">
        <v>810</v>
      </c>
    </row>
    <row r="15" spans="1:4" x14ac:dyDescent="0.2">
      <c r="A15" t="s">
        <v>839</v>
      </c>
      <c r="B15" s="6" t="s">
        <v>168</v>
      </c>
      <c r="C15" s="7" t="s">
        <v>37</v>
      </c>
      <c r="D15" t="s">
        <v>810</v>
      </c>
    </row>
    <row r="16" spans="1:4" x14ac:dyDescent="0.2">
      <c r="A16" t="s">
        <v>840</v>
      </c>
      <c r="B16" s="6" t="s">
        <v>169</v>
      </c>
      <c r="C16" s="7" t="s">
        <v>36</v>
      </c>
      <c r="D16" t="s">
        <v>810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8CA528-3B32-2448-BB6D-6CC77DBC2FD2}">
          <x14:formula1>
            <xm:f>ref!$A$17:$A$19</xm:f>
          </x14:formula1>
          <xm:sqref>D2:D16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9E92-CE1E-A44C-99A1-0B9120AE04C1}">
  <dimension ref="A1:M18"/>
  <sheetViews>
    <sheetView zoomScale="110" zoomScaleNormal="110" workbookViewId="0">
      <selection activeCell="C5" sqref="C5"/>
    </sheetView>
  </sheetViews>
  <sheetFormatPr baseColWidth="10" defaultRowHeight="16" x14ac:dyDescent="0.2"/>
  <cols>
    <col min="4" max="4" width="14.6640625" customWidth="1"/>
    <col min="5" max="5" width="11.6640625" customWidth="1"/>
    <col min="6" max="6" width="14.6640625" customWidth="1"/>
    <col min="7" max="7" width="16.83203125" customWidth="1"/>
  </cols>
  <sheetData>
    <row r="1" spans="1:13" x14ac:dyDescent="0.2">
      <c r="A1" t="s">
        <v>0</v>
      </c>
      <c r="B1" t="s">
        <v>799</v>
      </c>
      <c r="C1" t="s">
        <v>825</v>
      </c>
      <c r="D1" t="s">
        <v>153</v>
      </c>
      <c r="E1" t="s">
        <v>154</v>
      </c>
      <c r="F1" t="s">
        <v>762</v>
      </c>
      <c r="G1" s="1" t="s">
        <v>3</v>
      </c>
      <c r="H1" t="s">
        <v>26</v>
      </c>
    </row>
    <row r="2" spans="1:13" x14ac:dyDescent="0.2">
      <c r="A2" t="s">
        <v>2</v>
      </c>
      <c r="B2" t="s">
        <v>801</v>
      </c>
      <c r="C2" t="s">
        <v>832</v>
      </c>
      <c r="D2" s="1" t="s">
        <v>34</v>
      </c>
      <c r="E2" t="s">
        <v>158</v>
      </c>
      <c r="F2" s="1" t="s">
        <v>764</v>
      </c>
      <c r="G2" s="1" t="s">
        <v>285</v>
      </c>
      <c r="H2" s="1" t="s">
        <v>287</v>
      </c>
    </row>
    <row r="3" spans="1:13" x14ac:dyDescent="0.2">
      <c r="A3" t="s">
        <v>2</v>
      </c>
      <c r="B3" t="s">
        <v>801</v>
      </c>
      <c r="C3" t="s">
        <v>828</v>
      </c>
      <c r="D3" s="1" t="s">
        <v>34</v>
      </c>
      <c r="E3" t="s">
        <v>155</v>
      </c>
      <c r="F3" s="1" t="s">
        <v>764</v>
      </c>
      <c r="G3" s="1" t="s">
        <v>285</v>
      </c>
      <c r="H3" s="1" t="s">
        <v>287</v>
      </c>
    </row>
    <row r="4" spans="1:13" x14ac:dyDescent="0.2">
      <c r="A4" t="s">
        <v>2</v>
      </c>
      <c r="B4" t="s">
        <v>802</v>
      </c>
      <c r="C4" t="s">
        <v>833</v>
      </c>
      <c r="D4" s="1" t="s">
        <v>36</v>
      </c>
      <c r="E4" t="s">
        <v>158</v>
      </c>
      <c r="F4" s="1" t="s">
        <v>764</v>
      </c>
      <c r="G4" s="1" t="s">
        <v>286</v>
      </c>
      <c r="H4" s="1" t="s">
        <v>287</v>
      </c>
    </row>
    <row r="5" spans="1:13" x14ac:dyDescent="0.2">
      <c r="A5" t="s">
        <v>2</v>
      </c>
      <c r="B5" t="s">
        <v>802</v>
      </c>
      <c r="C5" t="s">
        <v>827</v>
      </c>
      <c r="D5" s="1" t="s">
        <v>35</v>
      </c>
      <c r="E5" t="s">
        <v>155</v>
      </c>
      <c r="F5" s="1" t="s">
        <v>764</v>
      </c>
      <c r="G5" s="1" t="s">
        <v>286</v>
      </c>
      <c r="H5" s="1" t="s">
        <v>287</v>
      </c>
      <c r="M5" s="1"/>
    </row>
    <row r="6" spans="1:13" x14ac:dyDescent="0.2">
      <c r="A6" t="s">
        <v>2</v>
      </c>
      <c r="B6" t="s">
        <v>802</v>
      </c>
      <c r="C6" t="s">
        <v>829</v>
      </c>
      <c r="D6" s="1" t="s">
        <v>171</v>
      </c>
      <c r="E6" t="s">
        <v>155</v>
      </c>
      <c r="F6" s="1" t="s">
        <v>764</v>
      </c>
      <c r="G6" s="1" t="s">
        <v>286</v>
      </c>
      <c r="H6" s="1" t="s">
        <v>287</v>
      </c>
      <c r="M6" s="1"/>
    </row>
    <row r="7" spans="1:13" x14ac:dyDescent="0.2">
      <c r="A7" t="s">
        <v>2</v>
      </c>
      <c r="B7" t="s">
        <v>802</v>
      </c>
      <c r="C7" t="s">
        <v>830</v>
      </c>
      <c r="D7" s="1" t="s">
        <v>157</v>
      </c>
      <c r="E7" t="s">
        <v>155</v>
      </c>
      <c r="F7" s="1" t="s">
        <v>764</v>
      </c>
      <c r="G7" s="1" t="s">
        <v>286</v>
      </c>
      <c r="H7" s="1" t="s">
        <v>287</v>
      </c>
      <c r="M7" s="1"/>
    </row>
    <row r="8" spans="1:13" x14ac:dyDescent="0.2">
      <c r="M8" s="1"/>
    </row>
    <row r="10" spans="1:13" x14ac:dyDescent="0.2">
      <c r="K10" s="6"/>
      <c r="L10" s="6"/>
      <c r="M10" s="6"/>
    </row>
    <row r="11" spans="1:13" x14ac:dyDescent="0.2">
      <c r="E11" s="1"/>
      <c r="K11" s="6"/>
      <c r="L11" s="6"/>
      <c r="M11" s="6"/>
    </row>
    <row r="12" spans="1:13" x14ac:dyDescent="0.2">
      <c r="K12" s="6"/>
      <c r="L12" s="6"/>
      <c r="M12" s="7"/>
    </row>
    <row r="16" spans="1:13" x14ac:dyDescent="0.2">
      <c r="J16" s="1"/>
    </row>
    <row r="17" spans="10:10" x14ac:dyDescent="0.2">
      <c r="J17" s="1"/>
    </row>
    <row r="18" spans="10:10" x14ac:dyDescent="0.2">
      <c r="J18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5F7961-6FAA-4B4B-9C06-20F9DCDC8B8C}">
          <x14:formula1>
            <xm:f>crop_fer!$C$2:$C$4</xm:f>
          </x14:formula1>
          <xm:sqref>B2:B7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4ED2-38E5-DF44-8359-DC945C6EA1B1}">
  <dimension ref="A1:B5"/>
  <sheetViews>
    <sheetView workbookViewId="0">
      <selection activeCell="B5" sqref="B5"/>
    </sheetView>
  </sheetViews>
  <sheetFormatPr baseColWidth="10" defaultRowHeight="16" x14ac:dyDescent="0.2"/>
  <cols>
    <col min="2" max="2" width="20.1640625" customWidth="1"/>
    <col min="3" max="3" width="17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38</v>
      </c>
    </row>
    <row r="3" spans="1:2" x14ac:dyDescent="0.2">
      <c r="A3" t="s">
        <v>194</v>
      </c>
      <c r="B3" t="s">
        <v>195</v>
      </c>
    </row>
    <row r="4" spans="1:2" x14ac:dyDescent="0.2">
      <c r="A4" t="s">
        <v>196</v>
      </c>
      <c r="B4" t="s">
        <v>197</v>
      </c>
    </row>
    <row r="5" spans="1:2" x14ac:dyDescent="0.2">
      <c r="A5" t="s">
        <v>212</v>
      </c>
      <c r="B5" t="s">
        <v>213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3E38-B5EE-7946-941F-1D3A439D6394}">
  <dimension ref="A1:O479"/>
  <sheetViews>
    <sheetView workbookViewId="0">
      <selection activeCell="K3" sqref="K3:L18"/>
    </sheetView>
  </sheetViews>
  <sheetFormatPr baseColWidth="10" defaultRowHeight="16" x14ac:dyDescent="0.2"/>
  <cols>
    <col min="2" max="2" width="20.5" customWidth="1"/>
    <col min="5" max="5" width="20.33203125" customWidth="1"/>
    <col min="8" max="8" width="16.83203125" customWidth="1"/>
    <col min="15" max="15" width="20.1640625" customWidth="1"/>
  </cols>
  <sheetData>
    <row r="1" spans="1:15" x14ac:dyDescent="0.2">
      <c r="A1" t="s">
        <v>151</v>
      </c>
      <c r="K1" t="s">
        <v>152</v>
      </c>
      <c r="O1" t="s">
        <v>288</v>
      </c>
    </row>
    <row r="2" spans="1:15" x14ac:dyDescent="0.2">
      <c r="A2" t="s">
        <v>12</v>
      </c>
      <c r="B2" t="s">
        <v>52</v>
      </c>
      <c r="D2" t="s">
        <v>29</v>
      </c>
      <c r="E2" t="s">
        <v>41</v>
      </c>
      <c r="G2" t="s">
        <v>21</v>
      </c>
      <c r="H2" t="s">
        <v>48</v>
      </c>
      <c r="O2" t="s">
        <v>289</v>
      </c>
    </row>
    <row r="3" spans="1:15" x14ac:dyDescent="0.2">
      <c r="A3" t="s">
        <v>13</v>
      </c>
      <c r="B3" t="s">
        <v>54</v>
      </c>
      <c r="D3" t="s">
        <v>30</v>
      </c>
      <c r="E3" t="s">
        <v>97</v>
      </c>
      <c r="G3" t="s">
        <v>22</v>
      </c>
      <c r="H3" t="s">
        <v>133</v>
      </c>
      <c r="K3" t="s">
        <v>154</v>
      </c>
      <c r="L3" t="s">
        <v>153</v>
      </c>
      <c r="O3" t="s">
        <v>290</v>
      </c>
    </row>
    <row r="4" spans="1:15" x14ac:dyDescent="0.2">
      <c r="A4" t="s">
        <v>14</v>
      </c>
      <c r="B4" t="s">
        <v>59</v>
      </c>
      <c r="D4" t="s">
        <v>31</v>
      </c>
      <c r="E4" t="s">
        <v>101</v>
      </c>
      <c r="G4" t="s">
        <v>23</v>
      </c>
      <c r="H4" t="s">
        <v>134</v>
      </c>
      <c r="K4" t="s">
        <v>155</v>
      </c>
      <c r="L4" s="1" t="s">
        <v>170</v>
      </c>
      <c r="O4" t="s">
        <v>291</v>
      </c>
    </row>
    <row r="5" spans="1:15" x14ac:dyDescent="0.2">
      <c r="A5" t="s">
        <v>15</v>
      </c>
      <c r="B5" t="s">
        <v>63</v>
      </c>
      <c r="D5" t="s">
        <v>32</v>
      </c>
      <c r="E5" t="s">
        <v>106</v>
      </c>
      <c r="G5" t="s">
        <v>24</v>
      </c>
      <c r="H5" t="s">
        <v>135</v>
      </c>
      <c r="K5" t="s">
        <v>155</v>
      </c>
      <c r="L5" s="1" t="s">
        <v>35</v>
      </c>
      <c r="O5" t="s">
        <v>292</v>
      </c>
    </row>
    <row r="6" spans="1:15" x14ac:dyDescent="0.2">
      <c r="A6" t="s">
        <v>16</v>
      </c>
      <c r="B6" t="s">
        <v>65</v>
      </c>
      <c r="D6" t="s">
        <v>33</v>
      </c>
      <c r="E6" t="s">
        <v>108</v>
      </c>
      <c r="G6" t="s">
        <v>25</v>
      </c>
      <c r="H6" t="s">
        <v>49</v>
      </c>
      <c r="K6" t="s">
        <v>155</v>
      </c>
      <c r="L6" t="s">
        <v>34</v>
      </c>
      <c r="O6" t="s">
        <v>293</v>
      </c>
    </row>
    <row r="7" spans="1:15" x14ac:dyDescent="0.2">
      <c r="A7" t="s">
        <v>68</v>
      </c>
      <c r="B7" t="s">
        <v>72</v>
      </c>
      <c r="D7" t="s">
        <v>47</v>
      </c>
      <c r="E7" t="s">
        <v>46</v>
      </c>
      <c r="G7" t="s">
        <v>51</v>
      </c>
      <c r="H7" t="s">
        <v>136</v>
      </c>
      <c r="K7" t="s">
        <v>155</v>
      </c>
      <c r="L7" s="1" t="s">
        <v>171</v>
      </c>
      <c r="O7" t="s">
        <v>294</v>
      </c>
    </row>
    <row r="8" spans="1:15" x14ac:dyDescent="0.2">
      <c r="A8" t="s">
        <v>73</v>
      </c>
      <c r="B8" t="s">
        <v>77</v>
      </c>
      <c r="D8" t="s">
        <v>115</v>
      </c>
      <c r="E8" t="s">
        <v>45</v>
      </c>
      <c r="G8" t="s">
        <v>130</v>
      </c>
      <c r="H8" t="s">
        <v>137</v>
      </c>
      <c r="K8" t="s">
        <v>155</v>
      </c>
      <c r="L8" s="1" t="s">
        <v>157</v>
      </c>
      <c r="O8" t="s">
        <v>295</v>
      </c>
    </row>
    <row r="9" spans="1:15" x14ac:dyDescent="0.2">
      <c r="A9" t="s">
        <v>75</v>
      </c>
      <c r="B9" t="s">
        <v>17</v>
      </c>
      <c r="D9" t="s">
        <v>116</v>
      </c>
      <c r="E9" t="s">
        <v>43</v>
      </c>
      <c r="G9" t="s">
        <v>131</v>
      </c>
      <c r="H9" t="s">
        <v>50</v>
      </c>
      <c r="K9" t="s">
        <v>156</v>
      </c>
      <c r="L9" s="1" t="s">
        <v>157</v>
      </c>
      <c r="O9" t="s">
        <v>296</v>
      </c>
    </row>
    <row r="10" spans="1:15" x14ac:dyDescent="0.2">
      <c r="A10" t="s">
        <v>80</v>
      </c>
      <c r="B10" t="s">
        <v>85</v>
      </c>
      <c r="D10" t="s">
        <v>117</v>
      </c>
      <c r="E10" t="s">
        <v>110</v>
      </c>
      <c r="G10" t="s">
        <v>132</v>
      </c>
      <c r="H10" t="s">
        <v>138</v>
      </c>
      <c r="K10" t="s">
        <v>158</v>
      </c>
      <c r="L10" s="1" t="s">
        <v>34</v>
      </c>
      <c r="O10" t="s">
        <v>297</v>
      </c>
    </row>
    <row r="11" spans="1:15" x14ac:dyDescent="0.2">
      <c r="A11" t="s">
        <v>83</v>
      </c>
      <c r="B11" t="s">
        <v>88</v>
      </c>
      <c r="D11" t="s">
        <v>118</v>
      </c>
      <c r="E11" t="s">
        <v>112</v>
      </c>
      <c r="K11" t="s">
        <v>158</v>
      </c>
      <c r="L11" s="1" t="s">
        <v>36</v>
      </c>
      <c r="O11" t="s">
        <v>298</v>
      </c>
    </row>
    <row r="12" spans="1:15" x14ac:dyDescent="0.2">
      <c r="A12" t="s">
        <v>84</v>
      </c>
      <c r="B12" t="s">
        <v>91</v>
      </c>
      <c r="D12" t="s">
        <v>119</v>
      </c>
      <c r="E12" t="s">
        <v>114</v>
      </c>
      <c r="K12" t="s">
        <v>158</v>
      </c>
      <c r="L12" s="1" t="s">
        <v>159</v>
      </c>
      <c r="O12" t="s">
        <v>299</v>
      </c>
    </row>
    <row r="13" spans="1:15" x14ac:dyDescent="0.2">
      <c r="D13" t="s">
        <v>120</v>
      </c>
      <c r="E13" t="s">
        <v>172</v>
      </c>
      <c r="K13" t="s">
        <v>160</v>
      </c>
      <c r="L13" s="1" t="s">
        <v>161</v>
      </c>
      <c r="O13" t="s">
        <v>300</v>
      </c>
    </row>
    <row r="14" spans="1:15" x14ac:dyDescent="0.2">
      <c r="K14" t="s">
        <v>162</v>
      </c>
      <c r="L14" s="1" t="s">
        <v>163</v>
      </c>
      <c r="O14" t="s">
        <v>301</v>
      </c>
    </row>
    <row r="15" spans="1:15" x14ac:dyDescent="0.2">
      <c r="K15" t="s">
        <v>166</v>
      </c>
      <c r="L15" s="1" t="s">
        <v>164</v>
      </c>
      <c r="O15" t="s">
        <v>302</v>
      </c>
    </row>
    <row r="16" spans="1:15" x14ac:dyDescent="0.2">
      <c r="A16" t="s">
        <v>813</v>
      </c>
      <c r="K16" t="s">
        <v>167</v>
      </c>
      <c r="L16" s="1" t="s">
        <v>165</v>
      </c>
      <c r="O16" t="s">
        <v>303</v>
      </c>
    </row>
    <row r="17" spans="1:15" x14ac:dyDescent="0.2">
      <c r="A17" t="s">
        <v>810</v>
      </c>
      <c r="K17" t="s">
        <v>168</v>
      </c>
      <c r="L17" s="1" t="s">
        <v>37</v>
      </c>
      <c r="O17" t="s">
        <v>304</v>
      </c>
    </row>
    <row r="18" spans="1:15" x14ac:dyDescent="0.2">
      <c r="A18" t="s">
        <v>812</v>
      </c>
      <c r="K18" t="s">
        <v>169</v>
      </c>
      <c r="L18" s="1" t="s">
        <v>36</v>
      </c>
      <c r="O18" t="s">
        <v>305</v>
      </c>
    </row>
    <row r="19" spans="1:15" x14ac:dyDescent="0.2">
      <c r="A19" t="s">
        <v>811</v>
      </c>
      <c r="L19" s="1"/>
      <c r="O19" t="s">
        <v>306</v>
      </c>
    </row>
    <row r="20" spans="1:15" x14ac:dyDescent="0.2">
      <c r="O20" t="s">
        <v>307</v>
      </c>
    </row>
    <row r="21" spans="1:15" x14ac:dyDescent="0.2">
      <c r="O21" t="s">
        <v>308</v>
      </c>
    </row>
    <row r="22" spans="1:15" x14ac:dyDescent="0.2">
      <c r="O22" t="s">
        <v>309</v>
      </c>
    </row>
    <row r="23" spans="1:15" x14ac:dyDescent="0.2">
      <c r="O23" t="s">
        <v>310</v>
      </c>
    </row>
    <row r="24" spans="1:15" x14ac:dyDescent="0.2">
      <c r="O24" t="s">
        <v>311</v>
      </c>
    </row>
    <row r="25" spans="1:15" x14ac:dyDescent="0.2">
      <c r="O25" t="s">
        <v>312</v>
      </c>
    </row>
    <row r="26" spans="1:15" x14ac:dyDescent="0.2">
      <c r="O26" t="s">
        <v>313</v>
      </c>
    </row>
    <row r="27" spans="1:15" x14ac:dyDescent="0.2">
      <c r="O27" t="s">
        <v>314</v>
      </c>
    </row>
    <row r="28" spans="1:15" x14ac:dyDescent="0.2">
      <c r="O28" t="s">
        <v>315</v>
      </c>
    </row>
    <row r="29" spans="1:15" x14ac:dyDescent="0.2">
      <c r="O29" t="s">
        <v>316</v>
      </c>
    </row>
    <row r="30" spans="1:15" x14ac:dyDescent="0.2">
      <c r="O30" t="s">
        <v>317</v>
      </c>
    </row>
    <row r="31" spans="1:15" x14ac:dyDescent="0.2">
      <c r="O31" t="s">
        <v>318</v>
      </c>
    </row>
    <row r="32" spans="1:15" x14ac:dyDescent="0.2">
      <c r="O32" t="s">
        <v>319</v>
      </c>
    </row>
    <row r="33" spans="15:15" x14ac:dyDescent="0.2">
      <c r="O33" t="s">
        <v>320</v>
      </c>
    </row>
    <row r="34" spans="15:15" x14ac:dyDescent="0.2">
      <c r="O34" t="s">
        <v>321</v>
      </c>
    </row>
    <row r="35" spans="15:15" x14ac:dyDescent="0.2">
      <c r="O35" t="s">
        <v>322</v>
      </c>
    </row>
    <row r="36" spans="15:15" x14ac:dyDescent="0.2">
      <c r="O36" t="s">
        <v>323</v>
      </c>
    </row>
    <row r="37" spans="15:15" x14ac:dyDescent="0.2">
      <c r="O37" t="s">
        <v>324</v>
      </c>
    </row>
    <row r="38" spans="15:15" x14ac:dyDescent="0.2">
      <c r="O38" t="s">
        <v>325</v>
      </c>
    </row>
    <row r="39" spans="15:15" x14ac:dyDescent="0.2">
      <c r="O39" t="s">
        <v>326</v>
      </c>
    </row>
    <row r="40" spans="15:15" x14ac:dyDescent="0.2">
      <c r="O40" t="s">
        <v>327</v>
      </c>
    </row>
    <row r="41" spans="15:15" x14ac:dyDescent="0.2">
      <c r="O41" t="s">
        <v>328</v>
      </c>
    </row>
    <row r="42" spans="15:15" x14ac:dyDescent="0.2">
      <c r="O42" t="s">
        <v>329</v>
      </c>
    </row>
    <row r="43" spans="15:15" x14ac:dyDescent="0.2">
      <c r="O43" t="s">
        <v>330</v>
      </c>
    </row>
    <row r="44" spans="15:15" x14ac:dyDescent="0.2">
      <c r="O44" t="s">
        <v>331</v>
      </c>
    </row>
    <row r="45" spans="15:15" x14ac:dyDescent="0.2">
      <c r="O45" t="s">
        <v>332</v>
      </c>
    </row>
    <row r="46" spans="15:15" x14ac:dyDescent="0.2">
      <c r="O46" t="s">
        <v>333</v>
      </c>
    </row>
    <row r="47" spans="15:15" x14ac:dyDescent="0.2">
      <c r="O47" t="s">
        <v>334</v>
      </c>
    </row>
    <row r="48" spans="15:15" x14ac:dyDescent="0.2">
      <c r="O48" t="s">
        <v>335</v>
      </c>
    </row>
    <row r="49" spans="15:15" x14ac:dyDescent="0.2">
      <c r="O49" t="s">
        <v>336</v>
      </c>
    </row>
    <row r="50" spans="15:15" x14ac:dyDescent="0.2">
      <c r="O50" t="s">
        <v>337</v>
      </c>
    </row>
    <row r="51" spans="15:15" x14ac:dyDescent="0.2">
      <c r="O51" t="s">
        <v>338</v>
      </c>
    </row>
    <row r="52" spans="15:15" x14ac:dyDescent="0.2">
      <c r="O52" t="s">
        <v>339</v>
      </c>
    </row>
    <row r="53" spans="15:15" x14ac:dyDescent="0.2">
      <c r="O53" t="s">
        <v>340</v>
      </c>
    </row>
    <row r="54" spans="15:15" x14ac:dyDescent="0.2">
      <c r="O54" t="s">
        <v>341</v>
      </c>
    </row>
    <row r="55" spans="15:15" x14ac:dyDescent="0.2">
      <c r="O55" t="s">
        <v>342</v>
      </c>
    </row>
    <row r="56" spans="15:15" x14ac:dyDescent="0.2">
      <c r="O56" t="s">
        <v>343</v>
      </c>
    </row>
    <row r="57" spans="15:15" x14ac:dyDescent="0.2">
      <c r="O57" t="s">
        <v>344</v>
      </c>
    </row>
    <row r="58" spans="15:15" x14ac:dyDescent="0.2">
      <c r="O58" t="s">
        <v>345</v>
      </c>
    </row>
    <row r="59" spans="15:15" x14ac:dyDescent="0.2">
      <c r="O59" t="s">
        <v>346</v>
      </c>
    </row>
    <row r="60" spans="15:15" x14ac:dyDescent="0.2">
      <c r="O60" t="s">
        <v>347</v>
      </c>
    </row>
    <row r="61" spans="15:15" x14ac:dyDescent="0.2">
      <c r="O61" t="s">
        <v>348</v>
      </c>
    </row>
    <row r="62" spans="15:15" x14ac:dyDescent="0.2">
      <c r="O62" t="s">
        <v>349</v>
      </c>
    </row>
    <row r="63" spans="15:15" x14ac:dyDescent="0.2">
      <c r="O63" t="s">
        <v>350</v>
      </c>
    </row>
    <row r="64" spans="15:15" x14ac:dyDescent="0.2">
      <c r="O64" t="s">
        <v>351</v>
      </c>
    </row>
    <row r="65" spans="15:15" x14ac:dyDescent="0.2">
      <c r="O65" t="s">
        <v>352</v>
      </c>
    </row>
    <row r="66" spans="15:15" x14ac:dyDescent="0.2">
      <c r="O66" t="s">
        <v>353</v>
      </c>
    </row>
    <row r="67" spans="15:15" x14ac:dyDescent="0.2">
      <c r="O67" t="s">
        <v>354</v>
      </c>
    </row>
    <row r="68" spans="15:15" x14ac:dyDescent="0.2">
      <c r="O68" t="s">
        <v>355</v>
      </c>
    </row>
    <row r="69" spans="15:15" x14ac:dyDescent="0.2">
      <c r="O69" t="s">
        <v>356</v>
      </c>
    </row>
    <row r="70" spans="15:15" x14ac:dyDescent="0.2">
      <c r="O70" t="s">
        <v>357</v>
      </c>
    </row>
    <row r="71" spans="15:15" x14ac:dyDescent="0.2">
      <c r="O71" t="s">
        <v>358</v>
      </c>
    </row>
    <row r="72" spans="15:15" x14ac:dyDescent="0.2">
      <c r="O72" t="s">
        <v>359</v>
      </c>
    </row>
    <row r="73" spans="15:15" x14ac:dyDescent="0.2">
      <c r="O73" t="s">
        <v>360</v>
      </c>
    </row>
    <row r="74" spans="15:15" x14ac:dyDescent="0.2">
      <c r="O74" t="s">
        <v>361</v>
      </c>
    </row>
    <row r="75" spans="15:15" x14ac:dyDescent="0.2">
      <c r="O75" t="s">
        <v>362</v>
      </c>
    </row>
    <row r="76" spans="15:15" x14ac:dyDescent="0.2">
      <c r="O76" t="s">
        <v>363</v>
      </c>
    </row>
    <row r="77" spans="15:15" x14ac:dyDescent="0.2">
      <c r="O77" t="s">
        <v>364</v>
      </c>
    </row>
    <row r="78" spans="15:15" x14ac:dyDescent="0.2">
      <c r="O78" t="s">
        <v>279</v>
      </c>
    </row>
    <row r="79" spans="15:15" x14ac:dyDescent="0.2">
      <c r="O79" t="s">
        <v>365</v>
      </c>
    </row>
    <row r="80" spans="15:15" x14ac:dyDescent="0.2">
      <c r="O80" t="s">
        <v>366</v>
      </c>
    </row>
    <row r="81" spans="15:15" x14ac:dyDescent="0.2">
      <c r="O81" t="s">
        <v>367</v>
      </c>
    </row>
    <row r="82" spans="15:15" x14ac:dyDescent="0.2">
      <c r="O82" t="s">
        <v>368</v>
      </c>
    </row>
    <row r="83" spans="15:15" x14ac:dyDescent="0.2">
      <c r="O83" t="s">
        <v>369</v>
      </c>
    </row>
    <row r="84" spans="15:15" x14ac:dyDescent="0.2">
      <c r="O84" t="s">
        <v>370</v>
      </c>
    </row>
    <row r="85" spans="15:15" x14ac:dyDescent="0.2">
      <c r="O85" t="s">
        <v>371</v>
      </c>
    </row>
    <row r="86" spans="15:15" x14ac:dyDescent="0.2">
      <c r="O86" t="s">
        <v>372</v>
      </c>
    </row>
    <row r="87" spans="15:15" x14ac:dyDescent="0.2">
      <c r="O87" t="s">
        <v>373</v>
      </c>
    </row>
    <row r="88" spans="15:15" x14ac:dyDescent="0.2">
      <c r="O88" t="s">
        <v>275</v>
      </c>
    </row>
    <row r="89" spans="15:15" x14ac:dyDescent="0.2">
      <c r="O89" t="s">
        <v>374</v>
      </c>
    </row>
    <row r="90" spans="15:15" x14ac:dyDescent="0.2">
      <c r="O90" t="s">
        <v>278</v>
      </c>
    </row>
    <row r="91" spans="15:15" x14ac:dyDescent="0.2">
      <c r="O91" t="s">
        <v>375</v>
      </c>
    </row>
    <row r="92" spans="15:15" x14ac:dyDescent="0.2">
      <c r="O92" t="s">
        <v>376</v>
      </c>
    </row>
    <row r="93" spans="15:15" x14ac:dyDescent="0.2">
      <c r="O93" t="s">
        <v>377</v>
      </c>
    </row>
    <row r="94" spans="15:15" x14ac:dyDescent="0.2">
      <c r="O94" t="s">
        <v>263</v>
      </c>
    </row>
    <row r="95" spans="15:15" x14ac:dyDescent="0.2">
      <c r="O95" t="s">
        <v>378</v>
      </c>
    </row>
    <row r="96" spans="15:15" x14ac:dyDescent="0.2">
      <c r="O96" t="s">
        <v>379</v>
      </c>
    </row>
    <row r="97" spans="15:15" x14ac:dyDescent="0.2">
      <c r="O97" t="s">
        <v>380</v>
      </c>
    </row>
    <row r="98" spans="15:15" x14ac:dyDescent="0.2">
      <c r="O98" t="s">
        <v>381</v>
      </c>
    </row>
    <row r="99" spans="15:15" x14ac:dyDescent="0.2">
      <c r="O99" t="s">
        <v>382</v>
      </c>
    </row>
    <row r="100" spans="15:15" x14ac:dyDescent="0.2">
      <c r="O100" t="s">
        <v>383</v>
      </c>
    </row>
    <row r="101" spans="15:15" x14ac:dyDescent="0.2">
      <c r="O101" t="s">
        <v>384</v>
      </c>
    </row>
    <row r="102" spans="15:15" x14ac:dyDescent="0.2">
      <c r="O102" t="s">
        <v>385</v>
      </c>
    </row>
    <row r="103" spans="15:15" x14ac:dyDescent="0.2">
      <c r="O103" t="s">
        <v>386</v>
      </c>
    </row>
    <row r="104" spans="15:15" x14ac:dyDescent="0.2">
      <c r="O104" t="s">
        <v>387</v>
      </c>
    </row>
    <row r="105" spans="15:15" x14ac:dyDescent="0.2">
      <c r="O105" t="s">
        <v>388</v>
      </c>
    </row>
    <row r="106" spans="15:15" x14ac:dyDescent="0.2">
      <c r="O106" t="s">
        <v>389</v>
      </c>
    </row>
    <row r="107" spans="15:15" x14ac:dyDescent="0.2">
      <c r="O107" t="s">
        <v>390</v>
      </c>
    </row>
    <row r="108" spans="15:15" x14ac:dyDescent="0.2">
      <c r="O108" t="s">
        <v>391</v>
      </c>
    </row>
    <row r="109" spans="15:15" x14ac:dyDescent="0.2">
      <c r="O109" t="s">
        <v>392</v>
      </c>
    </row>
    <row r="110" spans="15:15" x14ac:dyDescent="0.2">
      <c r="O110" t="s">
        <v>393</v>
      </c>
    </row>
    <row r="111" spans="15:15" x14ac:dyDescent="0.2">
      <c r="O111" t="s">
        <v>394</v>
      </c>
    </row>
    <row r="112" spans="15:15" x14ac:dyDescent="0.2">
      <c r="O112" t="s">
        <v>395</v>
      </c>
    </row>
    <row r="113" spans="15:15" x14ac:dyDescent="0.2">
      <c r="O113" t="s">
        <v>396</v>
      </c>
    </row>
    <row r="114" spans="15:15" x14ac:dyDescent="0.2">
      <c r="O114" t="s">
        <v>397</v>
      </c>
    </row>
    <row r="115" spans="15:15" x14ac:dyDescent="0.2">
      <c r="O115" t="s">
        <v>398</v>
      </c>
    </row>
    <row r="116" spans="15:15" x14ac:dyDescent="0.2">
      <c r="O116" t="s">
        <v>399</v>
      </c>
    </row>
    <row r="117" spans="15:15" x14ac:dyDescent="0.2">
      <c r="O117" t="s">
        <v>400</v>
      </c>
    </row>
    <row r="118" spans="15:15" x14ac:dyDescent="0.2">
      <c r="O118" t="s">
        <v>401</v>
      </c>
    </row>
    <row r="119" spans="15:15" x14ac:dyDescent="0.2">
      <c r="O119" t="s">
        <v>402</v>
      </c>
    </row>
    <row r="120" spans="15:15" x14ac:dyDescent="0.2">
      <c r="O120" t="s">
        <v>403</v>
      </c>
    </row>
    <row r="121" spans="15:15" x14ac:dyDescent="0.2">
      <c r="O121" t="s">
        <v>404</v>
      </c>
    </row>
    <row r="122" spans="15:15" x14ac:dyDescent="0.2">
      <c r="O122" t="s">
        <v>405</v>
      </c>
    </row>
    <row r="123" spans="15:15" x14ac:dyDescent="0.2">
      <c r="O123" t="s">
        <v>406</v>
      </c>
    </row>
    <row r="124" spans="15:15" x14ac:dyDescent="0.2">
      <c r="O124" t="s">
        <v>407</v>
      </c>
    </row>
    <row r="125" spans="15:15" x14ac:dyDescent="0.2">
      <c r="O125" t="s">
        <v>408</v>
      </c>
    </row>
    <row r="126" spans="15:15" x14ac:dyDescent="0.2">
      <c r="O126" t="s">
        <v>409</v>
      </c>
    </row>
    <row r="127" spans="15:15" x14ac:dyDescent="0.2">
      <c r="O127" t="s">
        <v>410</v>
      </c>
    </row>
    <row r="128" spans="15:15" x14ac:dyDescent="0.2">
      <c r="O128" t="s">
        <v>411</v>
      </c>
    </row>
    <row r="129" spans="15:15" x14ac:dyDescent="0.2">
      <c r="O129" t="s">
        <v>412</v>
      </c>
    </row>
    <row r="130" spans="15:15" x14ac:dyDescent="0.2">
      <c r="O130" t="s">
        <v>413</v>
      </c>
    </row>
    <row r="131" spans="15:15" x14ac:dyDescent="0.2">
      <c r="O131" t="s">
        <v>414</v>
      </c>
    </row>
    <row r="132" spans="15:15" x14ac:dyDescent="0.2">
      <c r="O132" t="s">
        <v>415</v>
      </c>
    </row>
    <row r="133" spans="15:15" x14ac:dyDescent="0.2">
      <c r="O133" t="s">
        <v>416</v>
      </c>
    </row>
    <row r="134" spans="15:15" x14ac:dyDescent="0.2">
      <c r="O134" t="s">
        <v>417</v>
      </c>
    </row>
    <row r="135" spans="15:15" x14ac:dyDescent="0.2">
      <c r="O135" t="s">
        <v>418</v>
      </c>
    </row>
    <row r="136" spans="15:15" x14ac:dyDescent="0.2">
      <c r="O136" t="s">
        <v>419</v>
      </c>
    </row>
    <row r="137" spans="15:15" x14ac:dyDescent="0.2">
      <c r="O137" t="s">
        <v>420</v>
      </c>
    </row>
    <row r="138" spans="15:15" x14ac:dyDescent="0.2">
      <c r="O138" t="s">
        <v>421</v>
      </c>
    </row>
    <row r="139" spans="15:15" x14ac:dyDescent="0.2">
      <c r="O139" t="s">
        <v>422</v>
      </c>
    </row>
    <row r="140" spans="15:15" x14ac:dyDescent="0.2">
      <c r="O140" t="s">
        <v>423</v>
      </c>
    </row>
    <row r="141" spans="15:15" x14ac:dyDescent="0.2">
      <c r="O141" t="s">
        <v>424</v>
      </c>
    </row>
    <row r="142" spans="15:15" x14ac:dyDescent="0.2">
      <c r="O142" t="s">
        <v>425</v>
      </c>
    </row>
    <row r="143" spans="15:15" x14ac:dyDescent="0.2">
      <c r="O143" t="s">
        <v>426</v>
      </c>
    </row>
    <row r="144" spans="15:15" x14ac:dyDescent="0.2">
      <c r="O144" t="s">
        <v>427</v>
      </c>
    </row>
    <row r="145" spans="15:15" x14ac:dyDescent="0.2">
      <c r="O145" t="s">
        <v>428</v>
      </c>
    </row>
    <row r="146" spans="15:15" x14ac:dyDescent="0.2">
      <c r="O146" t="s">
        <v>429</v>
      </c>
    </row>
    <row r="147" spans="15:15" x14ac:dyDescent="0.2">
      <c r="O147" t="s">
        <v>430</v>
      </c>
    </row>
    <row r="148" spans="15:15" x14ac:dyDescent="0.2">
      <c r="O148" t="s">
        <v>431</v>
      </c>
    </row>
    <row r="149" spans="15:15" x14ac:dyDescent="0.2">
      <c r="O149" t="s">
        <v>432</v>
      </c>
    </row>
    <row r="150" spans="15:15" x14ac:dyDescent="0.2">
      <c r="O150" t="s">
        <v>433</v>
      </c>
    </row>
    <row r="151" spans="15:15" x14ac:dyDescent="0.2">
      <c r="O151" t="s">
        <v>434</v>
      </c>
    </row>
    <row r="152" spans="15:15" x14ac:dyDescent="0.2">
      <c r="O152" t="s">
        <v>435</v>
      </c>
    </row>
    <row r="153" spans="15:15" x14ac:dyDescent="0.2">
      <c r="O153" t="s">
        <v>436</v>
      </c>
    </row>
    <row r="154" spans="15:15" x14ac:dyDescent="0.2">
      <c r="O154" t="s">
        <v>437</v>
      </c>
    </row>
    <row r="155" spans="15:15" x14ac:dyDescent="0.2">
      <c r="O155" t="s">
        <v>438</v>
      </c>
    </row>
    <row r="156" spans="15:15" x14ac:dyDescent="0.2">
      <c r="O156" t="s">
        <v>439</v>
      </c>
    </row>
    <row r="157" spans="15:15" x14ac:dyDescent="0.2">
      <c r="O157" t="s">
        <v>440</v>
      </c>
    </row>
    <row r="158" spans="15:15" x14ac:dyDescent="0.2">
      <c r="O158" t="s">
        <v>441</v>
      </c>
    </row>
    <row r="159" spans="15:15" x14ac:dyDescent="0.2">
      <c r="O159" t="s">
        <v>442</v>
      </c>
    </row>
    <row r="160" spans="15:15" x14ac:dyDescent="0.2">
      <c r="O160" t="s">
        <v>443</v>
      </c>
    </row>
    <row r="161" spans="15:15" x14ac:dyDescent="0.2">
      <c r="O161" t="s">
        <v>444</v>
      </c>
    </row>
    <row r="162" spans="15:15" x14ac:dyDescent="0.2">
      <c r="O162" t="s">
        <v>445</v>
      </c>
    </row>
    <row r="163" spans="15:15" x14ac:dyDescent="0.2">
      <c r="O163" t="s">
        <v>446</v>
      </c>
    </row>
    <row r="164" spans="15:15" x14ac:dyDescent="0.2">
      <c r="O164" t="s">
        <v>447</v>
      </c>
    </row>
    <row r="165" spans="15:15" x14ac:dyDescent="0.2">
      <c r="O165" t="s">
        <v>448</v>
      </c>
    </row>
    <row r="166" spans="15:15" x14ac:dyDescent="0.2">
      <c r="O166" t="s">
        <v>449</v>
      </c>
    </row>
    <row r="167" spans="15:15" x14ac:dyDescent="0.2">
      <c r="O167" t="s">
        <v>450</v>
      </c>
    </row>
    <row r="168" spans="15:15" x14ac:dyDescent="0.2">
      <c r="O168" t="s">
        <v>451</v>
      </c>
    </row>
    <row r="169" spans="15:15" x14ac:dyDescent="0.2">
      <c r="O169" t="s">
        <v>452</v>
      </c>
    </row>
    <row r="170" spans="15:15" x14ac:dyDescent="0.2">
      <c r="O170" t="s">
        <v>453</v>
      </c>
    </row>
    <row r="171" spans="15:15" x14ac:dyDescent="0.2">
      <c r="O171" t="s">
        <v>454</v>
      </c>
    </row>
    <row r="172" spans="15:15" x14ac:dyDescent="0.2">
      <c r="O172" t="s">
        <v>455</v>
      </c>
    </row>
    <row r="173" spans="15:15" x14ac:dyDescent="0.2">
      <c r="O173" t="s">
        <v>456</v>
      </c>
    </row>
    <row r="174" spans="15:15" x14ac:dyDescent="0.2">
      <c r="O174" t="s">
        <v>457</v>
      </c>
    </row>
    <row r="175" spans="15:15" x14ac:dyDescent="0.2">
      <c r="O175" t="s">
        <v>458</v>
      </c>
    </row>
    <row r="176" spans="15:15" x14ac:dyDescent="0.2">
      <c r="O176" t="s">
        <v>459</v>
      </c>
    </row>
    <row r="177" spans="15:15" x14ac:dyDescent="0.2">
      <c r="O177" t="s">
        <v>460</v>
      </c>
    </row>
    <row r="178" spans="15:15" x14ac:dyDescent="0.2">
      <c r="O178" t="s">
        <v>461</v>
      </c>
    </row>
    <row r="179" spans="15:15" x14ac:dyDescent="0.2">
      <c r="O179" t="s">
        <v>462</v>
      </c>
    </row>
    <row r="180" spans="15:15" x14ac:dyDescent="0.2">
      <c r="O180" t="s">
        <v>463</v>
      </c>
    </row>
    <row r="181" spans="15:15" x14ac:dyDescent="0.2">
      <c r="O181" t="s">
        <v>464</v>
      </c>
    </row>
    <row r="182" spans="15:15" x14ac:dyDescent="0.2">
      <c r="O182" t="s">
        <v>465</v>
      </c>
    </row>
    <row r="183" spans="15:15" x14ac:dyDescent="0.2">
      <c r="O183" t="s">
        <v>466</v>
      </c>
    </row>
    <row r="184" spans="15:15" x14ac:dyDescent="0.2">
      <c r="O184" t="s">
        <v>467</v>
      </c>
    </row>
    <row r="185" spans="15:15" x14ac:dyDescent="0.2">
      <c r="O185" t="s">
        <v>468</v>
      </c>
    </row>
    <row r="186" spans="15:15" x14ac:dyDescent="0.2">
      <c r="O186" t="s">
        <v>469</v>
      </c>
    </row>
    <row r="187" spans="15:15" x14ac:dyDescent="0.2">
      <c r="O187" t="s">
        <v>470</v>
      </c>
    </row>
    <row r="188" spans="15:15" x14ac:dyDescent="0.2">
      <c r="O188" t="s">
        <v>471</v>
      </c>
    </row>
    <row r="189" spans="15:15" x14ac:dyDescent="0.2">
      <c r="O189" t="s">
        <v>472</v>
      </c>
    </row>
    <row r="190" spans="15:15" x14ac:dyDescent="0.2">
      <c r="O190" t="s">
        <v>473</v>
      </c>
    </row>
    <row r="191" spans="15:15" x14ac:dyDescent="0.2">
      <c r="O191" t="s">
        <v>474</v>
      </c>
    </row>
    <row r="192" spans="15:15" x14ac:dyDescent="0.2">
      <c r="O192" t="s">
        <v>475</v>
      </c>
    </row>
    <row r="193" spans="15:15" x14ac:dyDescent="0.2">
      <c r="O193" t="s">
        <v>476</v>
      </c>
    </row>
    <row r="194" spans="15:15" x14ac:dyDescent="0.2">
      <c r="O194" t="s">
        <v>477</v>
      </c>
    </row>
    <row r="195" spans="15:15" x14ac:dyDescent="0.2">
      <c r="O195" t="s">
        <v>478</v>
      </c>
    </row>
    <row r="196" spans="15:15" x14ac:dyDescent="0.2">
      <c r="O196" t="s">
        <v>479</v>
      </c>
    </row>
    <row r="197" spans="15:15" x14ac:dyDescent="0.2">
      <c r="O197" t="s">
        <v>480</v>
      </c>
    </row>
    <row r="198" spans="15:15" x14ac:dyDescent="0.2">
      <c r="O198" t="s">
        <v>481</v>
      </c>
    </row>
    <row r="199" spans="15:15" x14ac:dyDescent="0.2">
      <c r="O199" t="s">
        <v>482</v>
      </c>
    </row>
    <row r="200" spans="15:15" x14ac:dyDescent="0.2">
      <c r="O200" t="s">
        <v>483</v>
      </c>
    </row>
    <row r="201" spans="15:15" x14ac:dyDescent="0.2">
      <c r="O201" t="s">
        <v>484</v>
      </c>
    </row>
    <row r="202" spans="15:15" x14ac:dyDescent="0.2">
      <c r="O202" t="s">
        <v>485</v>
      </c>
    </row>
    <row r="203" spans="15:15" x14ac:dyDescent="0.2">
      <c r="O203" t="s">
        <v>486</v>
      </c>
    </row>
    <row r="204" spans="15:15" x14ac:dyDescent="0.2">
      <c r="O204" t="s">
        <v>487</v>
      </c>
    </row>
    <row r="205" spans="15:15" x14ac:dyDescent="0.2">
      <c r="O205" t="s">
        <v>488</v>
      </c>
    </row>
    <row r="206" spans="15:15" x14ac:dyDescent="0.2">
      <c r="O206" t="s">
        <v>489</v>
      </c>
    </row>
    <row r="207" spans="15:15" x14ac:dyDescent="0.2">
      <c r="O207" t="s">
        <v>490</v>
      </c>
    </row>
    <row r="208" spans="15:15" x14ac:dyDescent="0.2">
      <c r="O208" t="s">
        <v>491</v>
      </c>
    </row>
    <row r="209" spans="15:15" x14ac:dyDescent="0.2">
      <c r="O209" t="s">
        <v>492</v>
      </c>
    </row>
    <row r="210" spans="15:15" x14ac:dyDescent="0.2">
      <c r="O210" t="s">
        <v>493</v>
      </c>
    </row>
    <row r="211" spans="15:15" x14ac:dyDescent="0.2">
      <c r="O211" t="s">
        <v>494</v>
      </c>
    </row>
    <row r="212" spans="15:15" x14ac:dyDescent="0.2">
      <c r="O212" t="s">
        <v>495</v>
      </c>
    </row>
    <row r="213" spans="15:15" x14ac:dyDescent="0.2">
      <c r="O213" t="s">
        <v>262</v>
      </c>
    </row>
    <row r="214" spans="15:15" x14ac:dyDescent="0.2">
      <c r="O214" t="s">
        <v>496</v>
      </c>
    </row>
    <row r="215" spans="15:15" x14ac:dyDescent="0.2">
      <c r="O215" t="s">
        <v>497</v>
      </c>
    </row>
    <row r="216" spans="15:15" x14ac:dyDescent="0.2">
      <c r="O216" t="s">
        <v>498</v>
      </c>
    </row>
    <row r="217" spans="15:15" x14ac:dyDescent="0.2">
      <c r="O217" t="s">
        <v>499</v>
      </c>
    </row>
    <row r="218" spans="15:15" x14ac:dyDescent="0.2">
      <c r="O218" t="s">
        <v>500</v>
      </c>
    </row>
    <row r="219" spans="15:15" x14ac:dyDescent="0.2">
      <c r="O219" t="s">
        <v>501</v>
      </c>
    </row>
    <row r="220" spans="15:15" x14ac:dyDescent="0.2">
      <c r="O220" t="s">
        <v>502</v>
      </c>
    </row>
    <row r="221" spans="15:15" x14ac:dyDescent="0.2">
      <c r="O221" t="s">
        <v>503</v>
      </c>
    </row>
    <row r="222" spans="15:15" x14ac:dyDescent="0.2">
      <c r="O222" t="s">
        <v>504</v>
      </c>
    </row>
    <row r="223" spans="15:15" x14ac:dyDescent="0.2">
      <c r="O223" t="s">
        <v>505</v>
      </c>
    </row>
    <row r="224" spans="15:15" x14ac:dyDescent="0.2">
      <c r="O224" t="s">
        <v>506</v>
      </c>
    </row>
    <row r="225" spans="15:15" x14ac:dyDescent="0.2">
      <c r="O225" t="s">
        <v>507</v>
      </c>
    </row>
    <row r="226" spans="15:15" x14ac:dyDescent="0.2">
      <c r="O226" t="s">
        <v>508</v>
      </c>
    </row>
    <row r="227" spans="15:15" x14ac:dyDescent="0.2">
      <c r="O227" t="s">
        <v>509</v>
      </c>
    </row>
    <row r="228" spans="15:15" x14ac:dyDescent="0.2">
      <c r="O228" t="s">
        <v>510</v>
      </c>
    </row>
    <row r="229" spans="15:15" x14ac:dyDescent="0.2">
      <c r="O229" t="s">
        <v>511</v>
      </c>
    </row>
    <row r="230" spans="15:15" x14ac:dyDescent="0.2">
      <c r="O230" t="s">
        <v>512</v>
      </c>
    </row>
    <row r="231" spans="15:15" x14ac:dyDescent="0.2">
      <c r="O231" t="s">
        <v>513</v>
      </c>
    </row>
    <row r="232" spans="15:15" x14ac:dyDescent="0.2">
      <c r="O232" t="s">
        <v>514</v>
      </c>
    </row>
    <row r="233" spans="15:15" x14ac:dyDescent="0.2">
      <c r="O233" t="s">
        <v>515</v>
      </c>
    </row>
    <row r="234" spans="15:15" x14ac:dyDescent="0.2">
      <c r="O234" t="s">
        <v>516</v>
      </c>
    </row>
    <row r="235" spans="15:15" x14ac:dyDescent="0.2">
      <c r="O235" t="s">
        <v>517</v>
      </c>
    </row>
    <row r="236" spans="15:15" x14ac:dyDescent="0.2">
      <c r="O236" t="s">
        <v>518</v>
      </c>
    </row>
    <row r="237" spans="15:15" x14ac:dyDescent="0.2">
      <c r="O237" t="s">
        <v>519</v>
      </c>
    </row>
    <row r="238" spans="15:15" x14ac:dyDescent="0.2">
      <c r="O238" t="s">
        <v>520</v>
      </c>
    </row>
    <row r="239" spans="15:15" x14ac:dyDescent="0.2">
      <c r="O239" t="s">
        <v>521</v>
      </c>
    </row>
    <row r="240" spans="15:15" x14ac:dyDescent="0.2">
      <c r="O240" t="s">
        <v>522</v>
      </c>
    </row>
    <row r="241" spans="15:15" x14ac:dyDescent="0.2">
      <c r="O241" t="s">
        <v>523</v>
      </c>
    </row>
    <row r="242" spans="15:15" x14ac:dyDescent="0.2">
      <c r="O242" t="s">
        <v>524</v>
      </c>
    </row>
    <row r="243" spans="15:15" x14ac:dyDescent="0.2">
      <c r="O243" t="s">
        <v>525</v>
      </c>
    </row>
    <row r="244" spans="15:15" x14ac:dyDescent="0.2">
      <c r="O244" t="s">
        <v>526</v>
      </c>
    </row>
    <row r="245" spans="15:15" x14ac:dyDescent="0.2">
      <c r="O245" t="s">
        <v>527</v>
      </c>
    </row>
    <row r="246" spans="15:15" x14ac:dyDescent="0.2">
      <c r="O246" t="s">
        <v>528</v>
      </c>
    </row>
    <row r="247" spans="15:15" x14ac:dyDescent="0.2">
      <c r="O247" t="s">
        <v>529</v>
      </c>
    </row>
    <row r="248" spans="15:15" x14ac:dyDescent="0.2">
      <c r="O248" t="s">
        <v>530</v>
      </c>
    </row>
    <row r="249" spans="15:15" x14ac:dyDescent="0.2">
      <c r="O249" t="s">
        <v>531</v>
      </c>
    </row>
    <row r="250" spans="15:15" x14ac:dyDescent="0.2">
      <c r="O250" t="s">
        <v>532</v>
      </c>
    </row>
    <row r="251" spans="15:15" x14ac:dyDescent="0.2">
      <c r="O251" t="s">
        <v>533</v>
      </c>
    </row>
    <row r="252" spans="15:15" x14ac:dyDescent="0.2">
      <c r="O252" t="s">
        <v>534</v>
      </c>
    </row>
    <row r="253" spans="15:15" x14ac:dyDescent="0.2">
      <c r="O253" t="s">
        <v>535</v>
      </c>
    </row>
    <row r="254" spans="15:15" x14ac:dyDescent="0.2">
      <c r="O254" t="s">
        <v>536</v>
      </c>
    </row>
    <row r="255" spans="15:15" x14ac:dyDescent="0.2">
      <c r="O255" t="s">
        <v>537</v>
      </c>
    </row>
    <row r="256" spans="15:15" x14ac:dyDescent="0.2">
      <c r="O256" t="s">
        <v>538</v>
      </c>
    </row>
    <row r="257" spans="15:15" x14ac:dyDescent="0.2">
      <c r="O257" t="s">
        <v>539</v>
      </c>
    </row>
    <row r="258" spans="15:15" x14ac:dyDescent="0.2">
      <c r="O258" t="s">
        <v>540</v>
      </c>
    </row>
    <row r="259" spans="15:15" x14ac:dyDescent="0.2">
      <c r="O259" t="s">
        <v>541</v>
      </c>
    </row>
    <row r="260" spans="15:15" x14ac:dyDescent="0.2">
      <c r="O260" t="s">
        <v>542</v>
      </c>
    </row>
    <row r="261" spans="15:15" x14ac:dyDescent="0.2">
      <c r="O261" t="s">
        <v>543</v>
      </c>
    </row>
    <row r="262" spans="15:15" x14ac:dyDescent="0.2">
      <c r="O262" t="s">
        <v>544</v>
      </c>
    </row>
    <row r="263" spans="15:15" x14ac:dyDescent="0.2">
      <c r="O263" t="s">
        <v>545</v>
      </c>
    </row>
    <row r="264" spans="15:15" x14ac:dyDescent="0.2">
      <c r="O264" t="s">
        <v>546</v>
      </c>
    </row>
    <row r="265" spans="15:15" x14ac:dyDescent="0.2">
      <c r="O265" t="s">
        <v>547</v>
      </c>
    </row>
    <row r="266" spans="15:15" x14ac:dyDescent="0.2">
      <c r="O266" t="s">
        <v>548</v>
      </c>
    </row>
    <row r="267" spans="15:15" x14ac:dyDescent="0.2">
      <c r="O267" t="s">
        <v>549</v>
      </c>
    </row>
    <row r="268" spans="15:15" x14ac:dyDescent="0.2">
      <c r="O268" t="s">
        <v>550</v>
      </c>
    </row>
    <row r="269" spans="15:15" x14ac:dyDescent="0.2">
      <c r="O269" t="s">
        <v>551</v>
      </c>
    </row>
    <row r="270" spans="15:15" x14ac:dyDescent="0.2">
      <c r="O270" t="s">
        <v>552</v>
      </c>
    </row>
    <row r="271" spans="15:15" x14ac:dyDescent="0.2">
      <c r="O271" t="s">
        <v>553</v>
      </c>
    </row>
    <row r="272" spans="15:15" x14ac:dyDescent="0.2">
      <c r="O272" t="s">
        <v>554</v>
      </c>
    </row>
    <row r="273" spans="15:15" x14ac:dyDescent="0.2">
      <c r="O273" t="s">
        <v>555</v>
      </c>
    </row>
    <row r="274" spans="15:15" x14ac:dyDescent="0.2">
      <c r="O274" t="s">
        <v>556</v>
      </c>
    </row>
    <row r="275" spans="15:15" x14ac:dyDescent="0.2">
      <c r="O275" t="s">
        <v>557</v>
      </c>
    </row>
    <row r="276" spans="15:15" x14ac:dyDescent="0.2">
      <c r="O276" t="s">
        <v>558</v>
      </c>
    </row>
    <row r="277" spans="15:15" x14ac:dyDescent="0.2">
      <c r="O277" t="s">
        <v>559</v>
      </c>
    </row>
    <row r="278" spans="15:15" x14ac:dyDescent="0.2">
      <c r="O278" t="s">
        <v>560</v>
      </c>
    </row>
    <row r="279" spans="15:15" x14ac:dyDescent="0.2">
      <c r="O279" t="s">
        <v>561</v>
      </c>
    </row>
    <row r="280" spans="15:15" x14ac:dyDescent="0.2">
      <c r="O280" t="s">
        <v>562</v>
      </c>
    </row>
    <row r="281" spans="15:15" x14ac:dyDescent="0.2">
      <c r="O281" t="s">
        <v>563</v>
      </c>
    </row>
    <row r="282" spans="15:15" x14ac:dyDescent="0.2">
      <c r="O282" t="s">
        <v>564</v>
      </c>
    </row>
    <row r="283" spans="15:15" x14ac:dyDescent="0.2">
      <c r="O283" t="s">
        <v>565</v>
      </c>
    </row>
    <row r="284" spans="15:15" x14ac:dyDescent="0.2">
      <c r="O284" t="s">
        <v>566</v>
      </c>
    </row>
    <row r="285" spans="15:15" x14ac:dyDescent="0.2">
      <c r="O285" t="s">
        <v>567</v>
      </c>
    </row>
    <row r="286" spans="15:15" x14ac:dyDescent="0.2">
      <c r="O286" t="s">
        <v>568</v>
      </c>
    </row>
    <row r="287" spans="15:15" x14ac:dyDescent="0.2">
      <c r="O287" t="s">
        <v>569</v>
      </c>
    </row>
    <row r="288" spans="15:15" x14ac:dyDescent="0.2">
      <c r="O288" t="s">
        <v>570</v>
      </c>
    </row>
    <row r="289" spans="15:15" x14ac:dyDescent="0.2">
      <c r="O289" t="s">
        <v>571</v>
      </c>
    </row>
    <row r="290" spans="15:15" x14ac:dyDescent="0.2">
      <c r="O290" t="s">
        <v>572</v>
      </c>
    </row>
    <row r="291" spans="15:15" x14ac:dyDescent="0.2">
      <c r="O291" t="s">
        <v>573</v>
      </c>
    </row>
    <row r="292" spans="15:15" x14ac:dyDescent="0.2">
      <c r="O292" t="s">
        <v>574</v>
      </c>
    </row>
    <row r="293" spans="15:15" x14ac:dyDescent="0.2">
      <c r="O293" t="s">
        <v>575</v>
      </c>
    </row>
    <row r="294" spans="15:15" x14ac:dyDescent="0.2">
      <c r="O294" t="s">
        <v>576</v>
      </c>
    </row>
    <row r="295" spans="15:15" x14ac:dyDescent="0.2">
      <c r="O295" t="s">
        <v>577</v>
      </c>
    </row>
    <row r="296" spans="15:15" x14ac:dyDescent="0.2">
      <c r="O296" t="s">
        <v>578</v>
      </c>
    </row>
    <row r="297" spans="15:15" x14ac:dyDescent="0.2">
      <c r="O297" t="s">
        <v>579</v>
      </c>
    </row>
    <row r="298" spans="15:15" x14ac:dyDescent="0.2">
      <c r="O298" t="s">
        <v>580</v>
      </c>
    </row>
    <row r="299" spans="15:15" x14ac:dyDescent="0.2">
      <c r="O299" t="s">
        <v>581</v>
      </c>
    </row>
    <row r="300" spans="15:15" x14ac:dyDescent="0.2">
      <c r="O300" t="s">
        <v>582</v>
      </c>
    </row>
    <row r="301" spans="15:15" x14ac:dyDescent="0.2">
      <c r="O301" t="s">
        <v>583</v>
      </c>
    </row>
    <row r="302" spans="15:15" x14ac:dyDescent="0.2">
      <c r="O302" t="s">
        <v>584</v>
      </c>
    </row>
    <row r="303" spans="15:15" x14ac:dyDescent="0.2">
      <c r="O303" t="s">
        <v>585</v>
      </c>
    </row>
    <row r="304" spans="15:15" x14ac:dyDescent="0.2">
      <c r="O304" t="s">
        <v>586</v>
      </c>
    </row>
    <row r="305" spans="15:15" x14ac:dyDescent="0.2">
      <c r="O305" t="s">
        <v>587</v>
      </c>
    </row>
    <row r="306" spans="15:15" x14ac:dyDescent="0.2">
      <c r="O306" t="s">
        <v>588</v>
      </c>
    </row>
    <row r="307" spans="15:15" x14ac:dyDescent="0.2">
      <c r="O307" t="s">
        <v>589</v>
      </c>
    </row>
    <row r="308" spans="15:15" x14ac:dyDescent="0.2">
      <c r="O308" t="s">
        <v>590</v>
      </c>
    </row>
    <row r="309" spans="15:15" x14ac:dyDescent="0.2">
      <c r="O309" t="s">
        <v>591</v>
      </c>
    </row>
    <row r="310" spans="15:15" x14ac:dyDescent="0.2">
      <c r="O310" t="s">
        <v>592</v>
      </c>
    </row>
    <row r="311" spans="15:15" x14ac:dyDescent="0.2">
      <c r="O311" t="s">
        <v>593</v>
      </c>
    </row>
    <row r="312" spans="15:15" x14ac:dyDescent="0.2">
      <c r="O312" t="s">
        <v>594</v>
      </c>
    </row>
    <row r="313" spans="15:15" x14ac:dyDescent="0.2">
      <c r="O313" t="s">
        <v>595</v>
      </c>
    </row>
    <row r="314" spans="15:15" x14ac:dyDescent="0.2">
      <c r="O314" t="s">
        <v>596</v>
      </c>
    </row>
    <row r="315" spans="15:15" x14ac:dyDescent="0.2">
      <c r="O315" t="s">
        <v>597</v>
      </c>
    </row>
    <row r="316" spans="15:15" x14ac:dyDescent="0.2">
      <c r="O316" t="s">
        <v>598</v>
      </c>
    </row>
    <row r="317" spans="15:15" x14ac:dyDescent="0.2">
      <c r="O317" t="s">
        <v>599</v>
      </c>
    </row>
    <row r="318" spans="15:15" x14ac:dyDescent="0.2">
      <c r="O318" t="s">
        <v>600</v>
      </c>
    </row>
    <row r="319" spans="15:15" x14ac:dyDescent="0.2">
      <c r="O319" t="s">
        <v>601</v>
      </c>
    </row>
    <row r="320" spans="15:15" x14ac:dyDescent="0.2">
      <c r="O320" t="s">
        <v>602</v>
      </c>
    </row>
    <row r="321" spans="15:15" x14ac:dyDescent="0.2">
      <c r="O321" t="s">
        <v>603</v>
      </c>
    </row>
    <row r="322" spans="15:15" x14ac:dyDescent="0.2">
      <c r="O322" t="s">
        <v>604</v>
      </c>
    </row>
    <row r="323" spans="15:15" x14ac:dyDescent="0.2">
      <c r="O323" t="s">
        <v>605</v>
      </c>
    </row>
    <row r="324" spans="15:15" x14ac:dyDescent="0.2">
      <c r="O324" t="s">
        <v>606</v>
      </c>
    </row>
    <row r="325" spans="15:15" x14ac:dyDescent="0.2">
      <c r="O325" t="s">
        <v>607</v>
      </c>
    </row>
    <row r="326" spans="15:15" x14ac:dyDescent="0.2">
      <c r="O326" t="s">
        <v>608</v>
      </c>
    </row>
    <row r="327" spans="15:15" x14ac:dyDescent="0.2">
      <c r="O327" t="s">
        <v>609</v>
      </c>
    </row>
    <row r="328" spans="15:15" x14ac:dyDescent="0.2">
      <c r="O328" t="s">
        <v>610</v>
      </c>
    </row>
    <row r="329" spans="15:15" x14ac:dyDescent="0.2">
      <c r="O329" t="s">
        <v>611</v>
      </c>
    </row>
    <row r="330" spans="15:15" x14ac:dyDescent="0.2">
      <c r="O330" t="s">
        <v>612</v>
      </c>
    </row>
    <row r="331" spans="15:15" x14ac:dyDescent="0.2">
      <c r="O331" t="s">
        <v>613</v>
      </c>
    </row>
    <row r="332" spans="15:15" x14ac:dyDescent="0.2">
      <c r="O332" t="s">
        <v>614</v>
      </c>
    </row>
    <row r="333" spans="15:15" x14ac:dyDescent="0.2">
      <c r="O333" t="s">
        <v>615</v>
      </c>
    </row>
    <row r="334" spans="15:15" x14ac:dyDescent="0.2">
      <c r="O334" t="s">
        <v>616</v>
      </c>
    </row>
    <row r="335" spans="15:15" x14ac:dyDescent="0.2">
      <c r="O335" t="s">
        <v>617</v>
      </c>
    </row>
    <row r="336" spans="15:15" x14ac:dyDescent="0.2">
      <c r="O336" t="s">
        <v>618</v>
      </c>
    </row>
    <row r="337" spans="15:15" x14ac:dyDescent="0.2">
      <c r="O337" t="s">
        <v>619</v>
      </c>
    </row>
    <row r="338" spans="15:15" x14ac:dyDescent="0.2">
      <c r="O338" t="s">
        <v>620</v>
      </c>
    </row>
    <row r="339" spans="15:15" x14ac:dyDescent="0.2">
      <c r="O339" t="s">
        <v>621</v>
      </c>
    </row>
    <row r="340" spans="15:15" x14ac:dyDescent="0.2">
      <c r="O340" t="s">
        <v>622</v>
      </c>
    </row>
    <row r="341" spans="15:15" x14ac:dyDescent="0.2">
      <c r="O341" t="s">
        <v>623</v>
      </c>
    </row>
    <row r="342" spans="15:15" x14ac:dyDescent="0.2">
      <c r="O342" t="s">
        <v>624</v>
      </c>
    </row>
    <row r="343" spans="15:15" x14ac:dyDescent="0.2">
      <c r="O343" t="s">
        <v>625</v>
      </c>
    </row>
    <row r="344" spans="15:15" x14ac:dyDescent="0.2">
      <c r="O344" t="s">
        <v>626</v>
      </c>
    </row>
    <row r="345" spans="15:15" x14ac:dyDescent="0.2">
      <c r="O345" t="s">
        <v>627</v>
      </c>
    </row>
    <row r="346" spans="15:15" x14ac:dyDescent="0.2">
      <c r="O346" t="s">
        <v>628</v>
      </c>
    </row>
    <row r="347" spans="15:15" x14ac:dyDescent="0.2">
      <c r="O347" t="s">
        <v>629</v>
      </c>
    </row>
    <row r="348" spans="15:15" x14ac:dyDescent="0.2">
      <c r="O348" t="s">
        <v>630</v>
      </c>
    </row>
    <row r="349" spans="15:15" x14ac:dyDescent="0.2">
      <c r="O349" t="s">
        <v>631</v>
      </c>
    </row>
    <row r="350" spans="15:15" x14ac:dyDescent="0.2">
      <c r="O350" t="s">
        <v>632</v>
      </c>
    </row>
    <row r="351" spans="15:15" x14ac:dyDescent="0.2">
      <c r="O351" t="s">
        <v>633</v>
      </c>
    </row>
    <row r="352" spans="15:15" x14ac:dyDescent="0.2">
      <c r="O352" t="s">
        <v>634</v>
      </c>
    </row>
    <row r="353" spans="15:15" x14ac:dyDescent="0.2">
      <c r="O353" t="s">
        <v>635</v>
      </c>
    </row>
    <row r="354" spans="15:15" x14ac:dyDescent="0.2">
      <c r="O354" t="s">
        <v>636</v>
      </c>
    </row>
    <row r="355" spans="15:15" x14ac:dyDescent="0.2">
      <c r="O355" t="s">
        <v>637</v>
      </c>
    </row>
    <row r="356" spans="15:15" x14ac:dyDescent="0.2">
      <c r="O356" t="s">
        <v>638</v>
      </c>
    </row>
    <row r="357" spans="15:15" x14ac:dyDescent="0.2">
      <c r="O357" t="s">
        <v>277</v>
      </c>
    </row>
    <row r="358" spans="15:15" x14ac:dyDescent="0.2">
      <c r="O358" t="s">
        <v>639</v>
      </c>
    </row>
    <row r="359" spans="15:15" x14ac:dyDescent="0.2">
      <c r="O359" t="s">
        <v>640</v>
      </c>
    </row>
    <row r="360" spans="15:15" x14ac:dyDescent="0.2">
      <c r="O360" t="s">
        <v>641</v>
      </c>
    </row>
    <row r="361" spans="15:15" x14ac:dyDescent="0.2">
      <c r="O361" t="s">
        <v>642</v>
      </c>
    </row>
    <row r="362" spans="15:15" x14ac:dyDescent="0.2">
      <c r="O362" t="s">
        <v>643</v>
      </c>
    </row>
    <row r="363" spans="15:15" x14ac:dyDescent="0.2">
      <c r="O363" t="s">
        <v>644</v>
      </c>
    </row>
    <row r="364" spans="15:15" x14ac:dyDescent="0.2">
      <c r="O364" t="s">
        <v>645</v>
      </c>
    </row>
    <row r="365" spans="15:15" x14ac:dyDescent="0.2">
      <c r="O365" t="s">
        <v>646</v>
      </c>
    </row>
    <row r="366" spans="15:15" x14ac:dyDescent="0.2">
      <c r="O366" t="s">
        <v>647</v>
      </c>
    </row>
    <row r="367" spans="15:15" x14ac:dyDescent="0.2">
      <c r="O367" t="s">
        <v>648</v>
      </c>
    </row>
    <row r="368" spans="15:15" x14ac:dyDescent="0.2">
      <c r="O368" t="s">
        <v>649</v>
      </c>
    </row>
    <row r="369" spans="15:15" x14ac:dyDescent="0.2">
      <c r="O369" t="s">
        <v>650</v>
      </c>
    </row>
    <row r="370" spans="15:15" x14ac:dyDescent="0.2">
      <c r="O370" t="s">
        <v>651</v>
      </c>
    </row>
    <row r="371" spans="15:15" x14ac:dyDescent="0.2">
      <c r="O371" t="s">
        <v>276</v>
      </c>
    </row>
    <row r="372" spans="15:15" x14ac:dyDescent="0.2">
      <c r="O372" t="s">
        <v>652</v>
      </c>
    </row>
    <row r="373" spans="15:15" x14ac:dyDescent="0.2">
      <c r="O373" t="s">
        <v>653</v>
      </c>
    </row>
    <row r="374" spans="15:15" x14ac:dyDescent="0.2">
      <c r="O374" t="s">
        <v>654</v>
      </c>
    </row>
    <row r="375" spans="15:15" x14ac:dyDescent="0.2">
      <c r="O375" t="s">
        <v>655</v>
      </c>
    </row>
    <row r="376" spans="15:15" x14ac:dyDescent="0.2">
      <c r="O376" t="s">
        <v>656</v>
      </c>
    </row>
    <row r="377" spans="15:15" x14ac:dyDescent="0.2">
      <c r="O377" t="s">
        <v>657</v>
      </c>
    </row>
    <row r="378" spans="15:15" x14ac:dyDescent="0.2">
      <c r="O378" t="s">
        <v>280</v>
      </c>
    </row>
    <row r="379" spans="15:15" x14ac:dyDescent="0.2">
      <c r="O379" t="s">
        <v>658</v>
      </c>
    </row>
    <row r="380" spans="15:15" x14ac:dyDescent="0.2">
      <c r="O380" t="s">
        <v>659</v>
      </c>
    </row>
    <row r="381" spans="15:15" x14ac:dyDescent="0.2">
      <c r="O381" t="s">
        <v>660</v>
      </c>
    </row>
    <row r="382" spans="15:15" x14ac:dyDescent="0.2">
      <c r="O382" t="s">
        <v>661</v>
      </c>
    </row>
    <row r="383" spans="15:15" x14ac:dyDescent="0.2">
      <c r="O383" t="s">
        <v>662</v>
      </c>
    </row>
    <row r="384" spans="15:15" x14ac:dyDescent="0.2">
      <c r="O384" t="s">
        <v>663</v>
      </c>
    </row>
    <row r="385" spans="15:15" x14ac:dyDescent="0.2">
      <c r="O385" t="s">
        <v>664</v>
      </c>
    </row>
    <row r="386" spans="15:15" x14ac:dyDescent="0.2">
      <c r="O386" t="s">
        <v>665</v>
      </c>
    </row>
    <row r="387" spans="15:15" x14ac:dyDescent="0.2">
      <c r="O387" t="s">
        <v>666</v>
      </c>
    </row>
    <row r="388" spans="15:15" x14ac:dyDescent="0.2">
      <c r="O388" t="s">
        <v>667</v>
      </c>
    </row>
    <row r="389" spans="15:15" x14ac:dyDescent="0.2">
      <c r="O389" t="s">
        <v>668</v>
      </c>
    </row>
    <row r="390" spans="15:15" x14ac:dyDescent="0.2">
      <c r="O390" t="s">
        <v>669</v>
      </c>
    </row>
    <row r="391" spans="15:15" x14ac:dyDescent="0.2">
      <c r="O391" t="s">
        <v>670</v>
      </c>
    </row>
    <row r="392" spans="15:15" x14ac:dyDescent="0.2">
      <c r="O392" t="s">
        <v>671</v>
      </c>
    </row>
    <row r="393" spans="15:15" x14ac:dyDescent="0.2">
      <c r="O393" t="s">
        <v>672</v>
      </c>
    </row>
    <row r="394" spans="15:15" x14ac:dyDescent="0.2">
      <c r="O394" t="s">
        <v>673</v>
      </c>
    </row>
    <row r="395" spans="15:15" x14ac:dyDescent="0.2">
      <c r="O395" t="s">
        <v>674</v>
      </c>
    </row>
    <row r="396" spans="15:15" x14ac:dyDescent="0.2">
      <c r="O396" t="s">
        <v>675</v>
      </c>
    </row>
    <row r="397" spans="15:15" x14ac:dyDescent="0.2">
      <c r="O397" t="s">
        <v>676</v>
      </c>
    </row>
    <row r="398" spans="15:15" x14ac:dyDescent="0.2">
      <c r="O398" t="s">
        <v>677</v>
      </c>
    </row>
    <row r="399" spans="15:15" x14ac:dyDescent="0.2">
      <c r="O399" t="s">
        <v>678</v>
      </c>
    </row>
    <row r="400" spans="15:15" x14ac:dyDescent="0.2">
      <c r="O400" t="s">
        <v>679</v>
      </c>
    </row>
    <row r="401" spans="15:15" x14ac:dyDescent="0.2">
      <c r="O401" t="s">
        <v>680</v>
      </c>
    </row>
    <row r="402" spans="15:15" x14ac:dyDescent="0.2">
      <c r="O402" t="s">
        <v>681</v>
      </c>
    </row>
    <row r="403" spans="15:15" x14ac:dyDescent="0.2">
      <c r="O403" t="s">
        <v>682</v>
      </c>
    </row>
    <row r="404" spans="15:15" x14ac:dyDescent="0.2">
      <c r="O404" t="s">
        <v>683</v>
      </c>
    </row>
    <row r="405" spans="15:15" x14ac:dyDescent="0.2">
      <c r="O405" t="s">
        <v>684</v>
      </c>
    </row>
    <row r="406" spans="15:15" x14ac:dyDescent="0.2">
      <c r="O406" t="s">
        <v>685</v>
      </c>
    </row>
    <row r="407" spans="15:15" x14ac:dyDescent="0.2">
      <c r="O407" t="s">
        <v>686</v>
      </c>
    </row>
    <row r="408" spans="15:15" x14ac:dyDescent="0.2">
      <c r="O408" t="s">
        <v>687</v>
      </c>
    </row>
    <row r="409" spans="15:15" x14ac:dyDescent="0.2">
      <c r="O409" t="s">
        <v>688</v>
      </c>
    </row>
    <row r="410" spans="15:15" x14ac:dyDescent="0.2">
      <c r="O410" t="s">
        <v>689</v>
      </c>
    </row>
    <row r="411" spans="15:15" x14ac:dyDescent="0.2">
      <c r="O411" t="s">
        <v>690</v>
      </c>
    </row>
    <row r="412" spans="15:15" x14ac:dyDescent="0.2">
      <c r="O412" t="s">
        <v>691</v>
      </c>
    </row>
    <row r="413" spans="15:15" x14ac:dyDescent="0.2">
      <c r="O413" t="s">
        <v>692</v>
      </c>
    </row>
    <row r="414" spans="15:15" x14ac:dyDescent="0.2">
      <c r="O414" t="s">
        <v>693</v>
      </c>
    </row>
    <row r="415" spans="15:15" x14ac:dyDescent="0.2">
      <c r="O415" t="s">
        <v>694</v>
      </c>
    </row>
    <row r="416" spans="15:15" x14ac:dyDescent="0.2">
      <c r="O416" t="s">
        <v>695</v>
      </c>
    </row>
    <row r="417" spans="15:15" x14ac:dyDescent="0.2">
      <c r="O417" t="s">
        <v>696</v>
      </c>
    </row>
    <row r="418" spans="15:15" x14ac:dyDescent="0.2">
      <c r="O418" t="s">
        <v>697</v>
      </c>
    </row>
    <row r="419" spans="15:15" x14ac:dyDescent="0.2">
      <c r="O419" t="s">
        <v>698</v>
      </c>
    </row>
    <row r="420" spans="15:15" x14ac:dyDescent="0.2">
      <c r="O420" t="s">
        <v>699</v>
      </c>
    </row>
    <row r="421" spans="15:15" x14ac:dyDescent="0.2">
      <c r="O421" t="s">
        <v>700</v>
      </c>
    </row>
    <row r="422" spans="15:15" x14ac:dyDescent="0.2">
      <c r="O422" t="s">
        <v>701</v>
      </c>
    </row>
    <row r="423" spans="15:15" x14ac:dyDescent="0.2">
      <c r="O423" t="s">
        <v>702</v>
      </c>
    </row>
    <row r="424" spans="15:15" x14ac:dyDescent="0.2">
      <c r="O424" t="s">
        <v>703</v>
      </c>
    </row>
    <row r="425" spans="15:15" x14ac:dyDescent="0.2">
      <c r="O425" t="s">
        <v>704</v>
      </c>
    </row>
    <row r="426" spans="15:15" x14ac:dyDescent="0.2">
      <c r="O426" t="s">
        <v>705</v>
      </c>
    </row>
    <row r="427" spans="15:15" x14ac:dyDescent="0.2">
      <c r="O427" t="s">
        <v>706</v>
      </c>
    </row>
    <row r="428" spans="15:15" x14ac:dyDescent="0.2">
      <c r="O428" t="s">
        <v>707</v>
      </c>
    </row>
    <row r="429" spans="15:15" x14ac:dyDescent="0.2">
      <c r="O429" t="s">
        <v>708</v>
      </c>
    </row>
    <row r="430" spans="15:15" x14ac:dyDescent="0.2">
      <c r="O430" t="s">
        <v>709</v>
      </c>
    </row>
    <row r="431" spans="15:15" x14ac:dyDescent="0.2">
      <c r="O431" t="s">
        <v>710</v>
      </c>
    </row>
    <row r="432" spans="15:15" x14ac:dyDescent="0.2">
      <c r="O432" t="s">
        <v>711</v>
      </c>
    </row>
    <row r="433" spans="15:15" x14ac:dyDescent="0.2">
      <c r="O433" t="s">
        <v>712</v>
      </c>
    </row>
    <row r="434" spans="15:15" x14ac:dyDescent="0.2">
      <c r="O434" t="s">
        <v>713</v>
      </c>
    </row>
    <row r="435" spans="15:15" x14ac:dyDescent="0.2">
      <c r="O435" t="s">
        <v>714</v>
      </c>
    </row>
    <row r="436" spans="15:15" x14ac:dyDescent="0.2">
      <c r="O436" t="s">
        <v>715</v>
      </c>
    </row>
    <row r="437" spans="15:15" x14ac:dyDescent="0.2">
      <c r="O437" t="s">
        <v>716</v>
      </c>
    </row>
    <row r="438" spans="15:15" x14ac:dyDescent="0.2">
      <c r="O438" t="s">
        <v>717</v>
      </c>
    </row>
    <row r="439" spans="15:15" x14ac:dyDescent="0.2">
      <c r="O439" t="s">
        <v>718</v>
      </c>
    </row>
    <row r="440" spans="15:15" x14ac:dyDescent="0.2">
      <c r="O440" t="s">
        <v>719</v>
      </c>
    </row>
    <row r="441" spans="15:15" x14ac:dyDescent="0.2">
      <c r="O441" t="s">
        <v>720</v>
      </c>
    </row>
    <row r="442" spans="15:15" x14ac:dyDescent="0.2">
      <c r="O442" t="s">
        <v>721</v>
      </c>
    </row>
    <row r="443" spans="15:15" x14ac:dyDescent="0.2">
      <c r="O443" t="s">
        <v>722</v>
      </c>
    </row>
    <row r="444" spans="15:15" x14ac:dyDescent="0.2">
      <c r="O444" t="s">
        <v>723</v>
      </c>
    </row>
    <row r="445" spans="15:15" x14ac:dyDescent="0.2">
      <c r="O445" t="s">
        <v>724</v>
      </c>
    </row>
    <row r="446" spans="15:15" x14ac:dyDescent="0.2">
      <c r="O446" t="s">
        <v>725</v>
      </c>
    </row>
    <row r="447" spans="15:15" x14ac:dyDescent="0.2">
      <c r="O447" t="s">
        <v>726</v>
      </c>
    </row>
    <row r="448" spans="15:15" x14ac:dyDescent="0.2">
      <c r="O448" t="s">
        <v>727</v>
      </c>
    </row>
    <row r="449" spans="15:15" x14ac:dyDescent="0.2">
      <c r="O449" t="s">
        <v>728</v>
      </c>
    </row>
    <row r="450" spans="15:15" x14ac:dyDescent="0.2">
      <c r="O450" t="s">
        <v>729</v>
      </c>
    </row>
    <row r="451" spans="15:15" x14ac:dyDescent="0.2">
      <c r="O451" t="s">
        <v>730</v>
      </c>
    </row>
    <row r="452" spans="15:15" x14ac:dyDescent="0.2">
      <c r="O452" t="s">
        <v>731</v>
      </c>
    </row>
    <row r="453" spans="15:15" x14ac:dyDescent="0.2">
      <c r="O453" t="s">
        <v>732</v>
      </c>
    </row>
    <row r="454" spans="15:15" x14ac:dyDescent="0.2">
      <c r="O454" t="s">
        <v>733</v>
      </c>
    </row>
    <row r="455" spans="15:15" x14ac:dyDescent="0.2">
      <c r="O455" t="s">
        <v>734</v>
      </c>
    </row>
    <row r="456" spans="15:15" x14ac:dyDescent="0.2">
      <c r="O456" t="s">
        <v>735</v>
      </c>
    </row>
    <row r="457" spans="15:15" x14ac:dyDescent="0.2">
      <c r="O457" t="s">
        <v>736</v>
      </c>
    </row>
    <row r="458" spans="15:15" x14ac:dyDescent="0.2">
      <c r="O458" t="s">
        <v>737</v>
      </c>
    </row>
    <row r="459" spans="15:15" x14ac:dyDescent="0.2">
      <c r="O459" t="s">
        <v>738</v>
      </c>
    </row>
    <row r="460" spans="15:15" x14ac:dyDescent="0.2">
      <c r="O460" t="s">
        <v>739</v>
      </c>
    </row>
    <row r="461" spans="15:15" x14ac:dyDescent="0.2">
      <c r="O461" t="s">
        <v>740</v>
      </c>
    </row>
    <row r="462" spans="15:15" x14ac:dyDescent="0.2">
      <c r="O462" t="s">
        <v>741</v>
      </c>
    </row>
    <row r="463" spans="15:15" x14ac:dyDescent="0.2">
      <c r="O463" t="s">
        <v>742</v>
      </c>
    </row>
    <row r="464" spans="15:15" x14ac:dyDescent="0.2">
      <c r="O464" t="s">
        <v>743</v>
      </c>
    </row>
    <row r="465" spans="15:15" x14ac:dyDescent="0.2">
      <c r="O465" t="s">
        <v>744</v>
      </c>
    </row>
    <row r="466" spans="15:15" x14ac:dyDescent="0.2">
      <c r="O466" t="s">
        <v>745</v>
      </c>
    </row>
    <row r="467" spans="15:15" x14ac:dyDescent="0.2">
      <c r="O467" t="s">
        <v>746</v>
      </c>
    </row>
    <row r="468" spans="15:15" x14ac:dyDescent="0.2">
      <c r="O468" t="s">
        <v>747</v>
      </c>
    </row>
    <row r="469" spans="15:15" x14ac:dyDescent="0.2">
      <c r="O469" t="s">
        <v>748</v>
      </c>
    </row>
    <row r="470" spans="15:15" x14ac:dyDescent="0.2">
      <c r="O470" t="s">
        <v>749</v>
      </c>
    </row>
    <row r="471" spans="15:15" x14ac:dyDescent="0.2">
      <c r="O471" t="s">
        <v>750</v>
      </c>
    </row>
    <row r="472" spans="15:15" x14ac:dyDescent="0.2">
      <c r="O472" t="s">
        <v>751</v>
      </c>
    </row>
    <row r="473" spans="15:15" x14ac:dyDescent="0.2">
      <c r="O473" t="s">
        <v>752</v>
      </c>
    </row>
    <row r="474" spans="15:15" x14ac:dyDescent="0.2">
      <c r="O474" t="s">
        <v>753</v>
      </c>
    </row>
    <row r="475" spans="15:15" x14ac:dyDescent="0.2">
      <c r="O475" t="s">
        <v>754</v>
      </c>
    </row>
    <row r="476" spans="15:15" x14ac:dyDescent="0.2">
      <c r="O476" t="s">
        <v>755</v>
      </c>
    </row>
    <row r="477" spans="15:15" x14ac:dyDescent="0.2">
      <c r="O477" t="s">
        <v>756</v>
      </c>
    </row>
    <row r="478" spans="15:15" x14ac:dyDescent="0.2">
      <c r="O478" t="s">
        <v>757</v>
      </c>
    </row>
    <row r="479" spans="15:15" x14ac:dyDescent="0.2">
      <c r="O479" t="s">
        <v>758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crop_stage</vt:lpstr>
      <vt:lpstr>crop_weeds</vt:lpstr>
      <vt:lpstr>crop_pest</vt:lpstr>
      <vt:lpstr>crop_disease</vt:lpstr>
      <vt:lpstr>crop_fer</vt:lpstr>
      <vt:lpstr>prod_her</vt:lpstr>
      <vt:lpstr>weed_her</vt:lpstr>
      <vt:lpstr>prod_ins</vt:lpstr>
      <vt:lpstr>pest_ins</vt:lpstr>
      <vt:lpstr>prod_fun</vt:lpstr>
      <vt:lpstr>disease_fun</vt:lpstr>
      <vt:lpstr>prod_fer</vt:lpstr>
      <vt:lpstr>fertilizer</vt:lpstr>
      <vt:lpstr>crop_ref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pongthanat Buranachon</dc:creator>
  <cp:lastModifiedBy>pongthanat Buranachon</cp:lastModifiedBy>
  <dcterms:created xsi:type="dcterms:W3CDTF">2026-08-06T08:02:19Z</dcterms:created>
  <dcterms:modified xsi:type="dcterms:W3CDTF">2026-09-01T01:54:18Z</dcterms:modified>
</cp:coreProperties>
</file>